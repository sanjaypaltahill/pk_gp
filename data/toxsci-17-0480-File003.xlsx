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\\AA.AD.EPA.GOV\ORD\RTP\USERS\E-J\jwambaug\Net MyDocuments\Research Projects\invivoPKlibrary\invivoPK_work\"/>
    </mc:Choice>
  </mc:AlternateContent>
  <bookViews>
    <workbookView xWindow="0" yWindow="0" windowWidth="24000" windowHeight="14595" activeTab="2"/>
  </bookViews>
  <sheets>
    <sheet name="ChemProps" sheetId="1" r:id="rId1"/>
    <sheet name="Table1" sheetId="2" r:id="rId2"/>
    <sheet name="Table2" sheetId="3" r:id="rId3"/>
  </sheets>
  <calcPr calcId="171027"/>
</workbook>
</file>

<file path=xl/calcChain.xml><?xml version="1.0" encoding="utf-8"?>
<calcChain xmlns="http://schemas.openxmlformats.org/spreadsheetml/2006/main">
  <c r="H49" i="3" l="1"/>
  <c r="G49" i="3"/>
  <c r="E49" i="3"/>
  <c r="D49" i="3"/>
  <c r="C49" i="3"/>
  <c r="B49" i="3"/>
  <c r="A49" i="3"/>
  <c r="H48" i="3"/>
  <c r="G48" i="3"/>
  <c r="E48" i="3"/>
  <c r="D48" i="3"/>
  <c r="C48" i="3"/>
  <c r="B48" i="3"/>
  <c r="A48" i="3"/>
  <c r="H47" i="3"/>
  <c r="G47" i="3"/>
  <c r="E47" i="3"/>
  <c r="F47" i="3" s="1"/>
  <c r="D47" i="3"/>
  <c r="C47" i="3"/>
  <c r="B47" i="3"/>
  <c r="A47" i="3"/>
  <c r="F48" i="3" l="1"/>
  <c r="F49" i="3"/>
  <c r="I48" i="3"/>
  <c r="I49" i="3"/>
  <c r="I47" i="3"/>
  <c r="H46" i="3"/>
  <c r="G46" i="3"/>
  <c r="E46" i="3"/>
  <c r="D46" i="3"/>
  <c r="C46" i="3"/>
  <c r="B46" i="3"/>
  <c r="A46" i="3"/>
  <c r="H45" i="3"/>
  <c r="G45" i="3"/>
  <c r="E45" i="3"/>
  <c r="D45" i="3"/>
  <c r="C45" i="3"/>
  <c r="B45" i="3"/>
  <c r="A45" i="3"/>
  <c r="H44" i="3"/>
  <c r="G44" i="3"/>
  <c r="E44" i="3"/>
  <c r="D44" i="3"/>
  <c r="C44" i="3"/>
  <c r="B44" i="3"/>
  <c r="A44" i="3"/>
  <c r="H43" i="3"/>
  <c r="G43" i="3"/>
  <c r="E43" i="3"/>
  <c r="D43" i="3"/>
  <c r="C43" i="3"/>
  <c r="B43" i="3"/>
  <c r="A43" i="3"/>
  <c r="H42" i="3"/>
  <c r="G42" i="3"/>
  <c r="E42" i="3"/>
  <c r="D42" i="3"/>
  <c r="C42" i="3"/>
  <c r="B42" i="3"/>
  <c r="A42" i="3"/>
  <c r="H41" i="3"/>
  <c r="G41" i="3"/>
  <c r="E41" i="3"/>
  <c r="D41" i="3"/>
  <c r="C41" i="3"/>
  <c r="B41" i="3"/>
  <c r="A41" i="3"/>
  <c r="H40" i="3"/>
  <c r="G40" i="3"/>
  <c r="E40" i="3"/>
  <c r="D40" i="3"/>
  <c r="C40" i="3"/>
  <c r="B40" i="3"/>
  <c r="A40" i="3"/>
  <c r="H39" i="3"/>
  <c r="G39" i="3"/>
  <c r="E39" i="3"/>
  <c r="D39" i="3"/>
  <c r="C39" i="3"/>
  <c r="B39" i="3"/>
  <c r="A39" i="3"/>
  <c r="H38" i="3"/>
  <c r="G38" i="3"/>
  <c r="E38" i="3"/>
  <c r="D38" i="3"/>
  <c r="C38" i="3"/>
  <c r="B38" i="3"/>
  <c r="A38" i="3"/>
  <c r="H37" i="3"/>
  <c r="G37" i="3"/>
  <c r="E37" i="3"/>
  <c r="D37" i="3"/>
  <c r="C37" i="3"/>
  <c r="B37" i="3"/>
  <c r="A37" i="3"/>
  <c r="H36" i="3"/>
  <c r="G36" i="3"/>
  <c r="E36" i="3"/>
  <c r="D36" i="3"/>
  <c r="C36" i="3"/>
  <c r="B36" i="3"/>
  <c r="A36" i="3"/>
  <c r="H35" i="3"/>
  <c r="G35" i="3"/>
  <c r="E35" i="3"/>
  <c r="D35" i="3"/>
  <c r="C35" i="3"/>
  <c r="B35" i="3"/>
  <c r="A35" i="3"/>
  <c r="H34" i="3"/>
  <c r="G34" i="3"/>
  <c r="E34" i="3"/>
  <c r="D34" i="3"/>
  <c r="C34" i="3"/>
  <c r="B34" i="3"/>
  <c r="A34" i="3"/>
  <c r="H33" i="3"/>
  <c r="G33" i="3"/>
  <c r="E33" i="3"/>
  <c r="D33" i="3"/>
  <c r="C33" i="3"/>
  <c r="B33" i="3"/>
  <c r="A33" i="3"/>
  <c r="H32" i="3"/>
  <c r="G32" i="3"/>
  <c r="E32" i="3"/>
  <c r="D32" i="3"/>
  <c r="C32" i="3"/>
  <c r="B32" i="3"/>
  <c r="A32" i="3"/>
  <c r="H31" i="3"/>
  <c r="G31" i="3"/>
  <c r="E31" i="3"/>
  <c r="D31" i="3"/>
  <c r="C31" i="3"/>
  <c r="B31" i="3"/>
  <c r="A31" i="3"/>
  <c r="H30" i="3"/>
  <c r="G30" i="3"/>
  <c r="E30" i="3"/>
  <c r="D30" i="3"/>
  <c r="C30" i="3"/>
  <c r="B30" i="3"/>
  <c r="A30" i="3"/>
  <c r="H29" i="3"/>
  <c r="G29" i="3"/>
  <c r="E29" i="3"/>
  <c r="D29" i="3"/>
  <c r="C29" i="3"/>
  <c r="B29" i="3"/>
  <c r="A29" i="3"/>
  <c r="H28" i="3"/>
  <c r="G28" i="3"/>
  <c r="E28" i="3"/>
  <c r="D28" i="3"/>
  <c r="C28" i="3"/>
  <c r="B28" i="3"/>
  <c r="A28" i="3"/>
  <c r="H27" i="3"/>
  <c r="G27" i="3"/>
  <c r="E27" i="3"/>
  <c r="D27" i="3"/>
  <c r="C27" i="3"/>
  <c r="B27" i="3"/>
  <c r="A27" i="3"/>
  <c r="H26" i="3"/>
  <c r="G26" i="3"/>
  <c r="E26" i="3"/>
  <c r="D26" i="3"/>
  <c r="C26" i="3"/>
  <c r="B26" i="3"/>
  <c r="A26" i="3"/>
  <c r="H25" i="3"/>
  <c r="G25" i="3"/>
  <c r="E25" i="3"/>
  <c r="D25" i="3"/>
  <c r="C25" i="3"/>
  <c r="B25" i="3"/>
  <c r="A25" i="3"/>
  <c r="H24" i="3"/>
  <c r="G24" i="3"/>
  <c r="E24" i="3"/>
  <c r="D24" i="3"/>
  <c r="C24" i="3"/>
  <c r="B24" i="3"/>
  <c r="A24" i="3"/>
  <c r="H23" i="3"/>
  <c r="G23" i="3"/>
  <c r="E23" i="3"/>
  <c r="D23" i="3"/>
  <c r="C23" i="3"/>
  <c r="B23" i="3"/>
  <c r="A23" i="3"/>
  <c r="H22" i="3"/>
  <c r="G22" i="3"/>
  <c r="E22" i="3"/>
  <c r="D22" i="3"/>
  <c r="C22" i="3"/>
  <c r="B22" i="3"/>
  <c r="A22" i="3"/>
  <c r="H21" i="3"/>
  <c r="G21" i="3"/>
  <c r="E21" i="3"/>
  <c r="D21" i="3"/>
  <c r="C21" i="3"/>
  <c r="B21" i="3"/>
  <c r="A21" i="3"/>
  <c r="H20" i="3"/>
  <c r="G20" i="3"/>
  <c r="E20" i="3"/>
  <c r="D20" i="3"/>
  <c r="C20" i="3"/>
  <c r="B20" i="3"/>
  <c r="A20" i="3"/>
  <c r="H19" i="3"/>
  <c r="G19" i="3"/>
  <c r="E19" i="3"/>
  <c r="D19" i="3"/>
  <c r="C19" i="3"/>
  <c r="B19" i="3"/>
  <c r="A19" i="3"/>
  <c r="H18" i="3"/>
  <c r="G18" i="3"/>
  <c r="E18" i="3"/>
  <c r="D18" i="3"/>
  <c r="C18" i="3"/>
  <c r="B18" i="3"/>
  <c r="A18" i="3"/>
  <c r="H17" i="3"/>
  <c r="G17" i="3"/>
  <c r="E17" i="3"/>
  <c r="D17" i="3"/>
  <c r="C17" i="3"/>
  <c r="B17" i="3"/>
  <c r="A17" i="3"/>
  <c r="H16" i="3"/>
  <c r="G16" i="3"/>
  <c r="E16" i="3"/>
  <c r="D16" i="3"/>
  <c r="C16" i="3"/>
  <c r="B16" i="3"/>
  <c r="A16" i="3"/>
  <c r="H15" i="3"/>
  <c r="G15" i="3"/>
  <c r="E15" i="3"/>
  <c r="D15" i="3"/>
  <c r="C15" i="3"/>
  <c r="B15" i="3"/>
  <c r="A15" i="3"/>
  <c r="H14" i="3"/>
  <c r="G14" i="3"/>
  <c r="E14" i="3"/>
  <c r="D14" i="3"/>
  <c r="C14" i="3"/>
  <c r="B14" i="3"/>
  <c r="A14" i="3"/>
  <c r="H13" i="3"/>
  <c r="G13" i="3"/>
  <c r="E13" i="3"/>
  <c r="D13" i="3"/>
  <c r="C13" i="3"/>
  <c r="B13" i="3"/>
  <c r="A13" i="3"/>
  <c r="H12" i="3"/>
  <c r="G12" i="3"/>
  <c r="E12" i="3"/>
  <c r="D12" i="3"/>
  <c r="C12" i="3"/>
  <c r="B12" i="3"/>
  <c r="A12" i="3"/>
  <c r="H11" i="3"/>
  <c r="G11" i="3"/>
  <c r="E11" i="3"/>
  <c r="D11" i="3"/>
  <c r="C11" i="3"/>
  <c r="B11" i="3"/>
  <c r="A11" i="3"/>
  <c r="H10" i="3"/>
  <c r="G10" i="3"/>
  <c r="E10" i="3"/>
  <c r="D10" i="3"/>
  <c r="C10" i="3"/>
  <c r="B10" i="3"/>
  <c r="A10" i="3"/>
  <c r="H9" i="3"/>
  <c r="G9" i="3"/>
  <c r="E9" i="3"/>
  <c r="D9" i="3"/>
  <c r="C9" i="3"/>
  <c r="B9" i="3"/>
  <c r="A9" i="3"/>
  <c r="H8" i="3"/>
  <c r="G8" i="3"/>
  <c r="E8" i="3"/>
  <c r="D8" i="3"/>
  <c r="C8" i="3"/>
  <c r="B8" i="3"/>
  <c r="A8" i="3"/>
  <c r="H7" i="3"/>
  <c r="G7" i="3"/>
  <c r="E7" i="3"/>
  <c r="D7" i="3"/>
  <c r="C7" i="3"/>
  <c r="B7" i="3"/>
  <c r="A7" i="3"/>
  <c r="H6" i="3"/>
  <c r="G6" i="3"/>
  <c r="E6" i="3"/>
  <c r="D6" i="3"/>
  <c r="C6" i="3"/>
  <c r="B6" i="3"/>
  <c r="A6" i="3"/>
  <c r="H5" i="3"/>
  <c r="G5" i="3"/>
  <c r="E5" i="3"/>
  <c r="D5" i="3"/>
  <c r="C5" i="3"/>
  <c r="B5" i="3"/>
  <c r="A5" i="3"/>
  <c r="H4" i="3"/>
  <c r="G4" i="3"/>
  <c r="E4" i="3"/>
  <c r="D4" i="3"/>
  <c r="C4" i="3"/>
  <c r="B4" i="3"/>
  <c r="A4" i="3"/>
  <c r="H3" i="3"/>
  <c r="G3" i="3"/>
  <c r="E3" i="3"/>
  <c r="D3" i="3"/>
  <c r="C3" i="3"/>
  <c r="B3" i="3"/>
  <c r="A3" i="3"/>
  <c r="B2" i="3"/>
  <c r="A2" i="3"/>
  <c r="H2" i="3"/>
  <c r="G2" i="3"/>
  <c r="E2" i="3"/>
  <c r="D2" i="3"/>
  <c r="C2" i="3"/>
  <c r="F36" i="3" l="1"/>
  <c r="F44" i="3"/>
  <c r="F40" i="3"/>
  <c r="F32" i="3"/>
  <c r="F6" i="3"/>
  <c r="F10" i="3"/>
  <c r="F14" i="3"/>
  <c r="F18" i="3"/>
  <c r="F22" i="3"/>
  <c r="I22" i="3" s="1"/>
  <c r="F26" i="3"/>
  <c r="I26" i="3" s="1"/>
  <c r="F30" i="3"/>
  <c r="I30" i="3" s="1"/>
  <c r="I32" i="3"/>
  <c r="F34" i="3"/>
  <c r="I34" i="3" s="1"/>
  <c r="I36" i="3"/>
  <c r="F38" i="3"/>
  <c r="I38" i="3" s="1"/>
  <c r="I40" i="3"/>
  <c r="F42" i="3"/>
  <c r="I42" i="3" s="1"/>
  <c r="I44" i="3"/>
  <c r="F5" i="3"/>
  <c r="F9" i="3"/>
  <c r="F13" i="3"/>
  <c r="I13" i="3" s="1"/>
  <c r="F17" i="3"/>
  <c r="I17" i="3" s="1"/>
  <c r="F21" i="3"/>
  <c r="I21" i="3" s="1"/>
  <c r="F25" i="3"/>
  <c r="I25" i="3" s="1"/>
  <c r="F29" i="3"/>
  <c r="I29" i="3" s="1"/>
  <c r="F2" i="3"/>
  <c r="I2" i="3" s="1"/>
  <c r="F4" i="3"/>
  <c r="I4" i="3" s="1"/>
  <c r="I6" i="3"/>
  <c r="F3" i="3"/>
  <c r="I3" i="3" s="1"/>
  <c r="I5" i="3"/>
  <c r="F7" i="3"/>
  <c r="I7" i="3" s="1"/>
  <c r="I9" i="3"/>
  <c r="F11" i="3"/>
  <c r="I11" i="3" s="1"/>
  <c r="F15" i="3"/>
  <c r="I15" i="3" s="1"/>
  <c r="F19" i="3"/>
  <c r="F23" i="3"/>
  <c r="I23" i="3" s="1"/>
  <c r="F27" i="3"/>
  <c r="F31" i="3"/>
  <c r="I31" i="3" s="1"/>
  <c r="F35" i="3"/>
  <c r="I35" i="3" s="1"/>
  <c r="F39" i="3"/>
  <c r="F43" i="3"/>
  <c r="F46" i="3"/>
  <c r="I46" i="3" s="1"/>
  <c r="F33" i="3"/>
  <c r="I33" i="3" s="1"/>
  <c r="F37" i="3"/>
  <c r="I37" i="3" s="1"/>
  <c r="I39" i="3"/>
  <c r="F41" i="3"/>
  <c r="I41" i="3" s="1"/>
  <c r="I43" i="3"/>
  <c r="F45" i="3"/>
  <c r="I45" i="3" s="1"/>
  <c r="I19" i="3"/>
  <c r="I27" i="3"/>
  <c r="F8" i="3"/>
  <c r="I8" i="3" s="1"/>
  <c r="I10" i="3"/>
  <c r="F12" i="3"/>
  <c r="I12" i="3" s="1"/>
  <c r="I14" i="3"/>
  <c r="F16" i="3"/>
  <c r="I16" i="3" s="1"/>
  <c r="I18" i="3"/>
  <c r="F20" i="3"/>
  <c r="I20" i="3" s="1"/>
  <c r="F24" i="3"/>
  <c r="I24" i="3" s="1"/>
  <c r="F28" i="3"/>
  <c r="I28" i="3" s="1"/>
</calcChain>
</file>

<file path=xl/sharedStrings.xml><?xml version="1.0" encoding="utf-8"?>
<sst xmlns="http://schemas.openxmlformats.org/spreadsheetml/2006/main" count="754" uniqueCount="251">
  <si>
    <t>Compound</t>
  </si>
  <si>
    <t>Abbrev</t>
  </si>
  <si>
    <t>CAS</t>
  </si>
  <si>
    <t>CAS.Check</t>
  </si>
  <si>
    <t>DSSTox</t>
  </si>
  <si>
    <t>Source</t>
  </si>
  <si>
    <t>OralDose</t>
  </si>
  <si>
    <t>ivDose</t>
  </si>
  <si>
    <t>MW</t>
  </si>
  <si>
    <t>logP</t>
  </si>
  <si>
    <t>WaterSol</t>
  </si>
  <si>
    <t>Charge.State</t>
  </si>
  <si>
    <t>Neutral.pH74</t>
  </si>
  <si>
    <t>Positive.pH74</t>
  </si>
  <si>
    <t>Negative.pH74</t>
  </si>
  <si>
    <t>Clint</t>
  </si>
  <si>
    <t>Fup</t>
  </si>
  <si>
    <t>SelectedModel</t>
  </si>
  <si>
    <t>Vdist</t>
  </si>
  <si>
    <t>kelim</t>
  </si>
  <si>
    <t>kgutabs</t>
  </si>
  <si>
    <t>2,4-D</t>
  </si>
  <si>
    <t>2,4D</t>
  </si>
  <si>
    <t>94-75-7</t>
  </si>
  <si>
    <t>DTXSID0020442</t>
  </si>
  <si>
    <t>0.2, 0.21</t>
  </si>
  <si>
    <t>Anionic</t>
  </si>
  <si>
    <t>1 compartment</t>
  </si>
  <si>
    <t>Alachlor</t>
  </si>
  <si>
    <t>Alac</t>
  </si>
  <si>
    <t>15972-60-8</t>
  </si>
  <si>
    <t>DTXSID1022265</t>
  </si>
  <si>
    <t>5.2, 5.3</t>
  </si>
  <si>
    <t>1, 0.97</t>
  </si>
  <si>
    <t>Neutral</t>
  </si>
  <si>
    <t>2 compartment</t>
  </si>
  <si>
    <t>Alprazolam</t>
  </si>
  <si>
    <t>Alpr</t>
  </si>
  <si>
    <t>28981-97-7</t>
  </si>
  <si>
    <t>DTXSID4022577</t>
  </si>
  <si>
    <t>7, 12</t>
  </si>
  <si>
    <t>Antipyrine</t>
  </si>
  <si>
    <t>Anti</t>
  </si>
  <si>
    <t>60-80-0</t>
  </si>
  <si>
    <t>DTXSID6021117</t>
  </si>
  <si>
    <t>NA</t>
  </si>
  <si>
    <t>Bensulide</t>
  </si>
  <si>
    <t>Bens</t>
  </si>
  <si>
    <t>741-58-2</t>
  </si>
  <si>
    <t>DTXSID9032329</t>
  </si>
  <si>
    <t>1,2</t>
  </si>
  <si>
    <t>5.3, 5.1, 5.2, 5</t>
  </si>
  <si>
    <t>1, 0.98</t>
  </si>
  <si>
    <t>Cationic</t>
  </si>
  <si>
    <t>5.3, 5.1, 5.2</t>
  </si>
  <si>
    <t>Bisphenol A</t>
  </si>
  <si>
    <t>BPA</t>
  </si>
  <si>
    <t>80-05-7</t>
  </si>
  <si>
    <t>DTXSID7020182</t>
  </si>
  <si>
    <t>Boscalid</t>
  </si>
  <si>
    <t>Bosc</t>
  </si>
  <si>
    <t>188425-85-6</t>
  </si>
  <si>
    <t>DTXSID6034392</t>
  </si>
  <si>
    <t>Bosentan</t>
  </si>
  <si>
    <t>Bose</t>
  </si>
  <si>
    <t>147536-97-8</t>
  </si>
  <si>
    <t>DTXSID7046627</t>
  </si>
  <si>
    <t>Carbaryl</t>
  </si>
  <si>
    <t>Cbyl</t>
  </si>
  <si>
    <t>63-25-2</t>
  </si>
  <si>
    <t>DTXSID9020247</t>
  </si>
  <si>
    <t>Carbendazim</t>
  </si>
  <si>
    <t>Cbzm</t>
  </si>
  <si>
    <t>10605-21-7</t>
  </si>
  <si>
    <t>DTXSID4024729</t>
  </si>
  <si>
    <t>Chloridazon</t>
  </si>
  <si>
    <t>Cdzn</t>
  </si>
  <si>
    <t>1698-60-8</t>
  </si>
  <si>
    <t>DTXSID3034872</t>
  </si>
  <si>
    <t>4.2, 4.1</t>
  </si>
  <si>
    <t>0.73, 0.83, 0.85</t>
  </si>
  <si>
    <t>Chlorpyrifos</t>
  </si>
  <si>
    <t>Cpfs</t>
  </si>
  <si>
    <t>2921-88-2</t>
  </si>
  <si>
    <t>DTXSID4020458</t>
  </si>
  <si>
    <t>5, 10, 50, 100</t>
  </si>
  <si>
    <t>Cyclanilide</t>
  </si>
  <si>
    <t>Cycl</t>
  </si>
  <si>
    <t>113136-77-9</t>
  </si>
  <si>
    <t>DTXSID5032600</t>
  </si>
  <si>
    <t>Cyclosporin A</t>
  </si>
  <si>
    <t>CycA</t>
  </si>
  <si>
    <t>59865-13-3</t>
  </si>
  <si>
    <t>DTXSID0020365</t>
  </si>
  <si>
    <t>5.9, 6</t>
  </si>
  <si>
    <t>Diazinon-o-analog</t>
  </si>
  <si>
    <t>Diaz</t>
  </si>
  <si>
    <t>962-58-3</t>
  </si>
  <si>
    <t>DTXSID5037523</t>
  </si>
  <si>
    <t>5, 5.1</t>
  </si>
  <si>
    <t>1, 0.99, 1.1</t>
  </si>
  <si>
    <t>Diclofenac</t>
  </si>
  <si>
    <t>Dicl</t>
  </si>
  <si>
    <t>15307-86-5</t>
  </si>
  <si>
    <t>DTXSID6022923</t>
  </si>
  <si>
    <t>Diltiazem</t>
  </si>
  <si>
    <t>Dilt</t>
  </si>
  <si>
    <t>42399-41-7</t>
  </si>
  <si>
    <t>DTXSID9022940</t>
  </si>
  <si>
    <t>Dimethenamid</t>
  </si>
  <si>
    <t>Dime</t>
  </si>
  <si>
    <t>87674-68-8</t>
  </si>
  <si>
    <t>DTXSID4032376</t>
  </si>
  <si>
    <t>Etoxazole</t>
  </si>
  <si>
    <t>Etox</t>
  </si>
  <si>
    <t>153233-91-1</t>
  </si>
  <si>
    <t>DTXSID8034586</t>
  </si>
  <si>
    <t>Fenarimol</t>
  </si>
  <si>
    <t>Fena</t>
  </si>
  <si>
    <t>60168-88-9</t>
  </si>
  <si>
    <t>DTXSID2032390</t>
  </si>
  <si>
    <t>Flufenacet</t>
  </si>
  <si>
    <t>Fluf</t>
  </si>
  <si>
    <t>142459-58-3</t>
  </si>
  <si>
    <t>DTXSID2032552</t>
  </si>
  <si>
    <t>5.3, 5.2, 5.1</t>
  </si>
  <si>
    <t>0.99, 0.98, 1</t>
  </si>
  <si>
    <t>Formetanate hydrochloride</t>
  </si>
  <si>
    <t>Form</t>
  </si>
  <si>
    <t>23422-53-9</t>
  </si>
  <si>
    <t>DTXSID4032405</t>
  </si>
  <si>
    <t>Hexobarbitone</t>
  </si>
  <si>
    <t>Hexo</t>
  </si>
  <si>
    <t>56-29-1</t>
  </si>
  <si>
    <t>DTXSID9023122</t>
  </si>
  <si>
    <t>Ibuprofen</t>
  </si>
  <si>
    <t>Ibup</t>
  </si>
  <si>
    <t>15687-27-1</t>
  </si>
  <si>
    <t>DTXSID5020732</t>
  </si>
  <si>
    <t>2.5, 25</t>
  </si>
  <si>
    <t>Imazalil</t>
  </si>
  <si>
    <t>Imaz</t>
  </si>
  <si>
    <t>35554-44-0</t>
  </si>
  <si>
    <t>DTXSID8024151</t>
  </si>
  <si>
    <t>Imidacloprid</t>
  </si>
  <si>
    <t>Imid</t>
  </si>
  <si>
    <t>138261-41-3</t>
  </si>
  <si>
    <t>DTXSID5032442</t>
  </si>
  <si>
    <t>Imipramine</t>
  </si>
  <si>
    <t>Imip</t>
  </si>
  <si>
    <t>50-49-7</t>
  </si>
  <si>
    <t>DTXSID1043881</t>
  </si>
  <si>
    <t>Metoprolol</t>
  </si>
  <si>
    <t>Meto</t>
  </si>
  <si>
    <t>51384-51-1</t>
  </si>
  <si>
    <t>DTXSID2023309</t>
  </si>
  <si>
    <t>Midazolam</t>
  </si>
  <si>
    <t>Mida</t>
  </si>
  <si>
    <t>59467-70-8</t>
  </si>
  <si>
    <t>DTXSID5023320</t>
  </si>
  <si>
    <t>Nilvadipine</t>
  </si>
  <si>
    <t>Nilv</t>
  </si>
  <si>
    <t>75530-68-6</t>
  </si>
  <si>
    <t>DTXSID2046624</t>
  </si>
  <si>
    <t>Novaluron</t>
  </si>
  <si>
    <t>Nova</t>
  </si>
  <si>
    <t>116714-46-6</t>
  </si>
  <si>
    <t>DTXSID5034773</t>
  </si>
  <si>
    <t>Ondansetron</t>
  </si>
  <si>
    <t>Onda</t>
  </si>
  <si>
    <t>99614-02-5</t>
  </si>
  <si>
    <t>DTXSID8023393</t>
  </si>
  <si>
    <t>4, 8, 20</t>
  </si>
  <si>
    <t>1, 4, 8, 20</t>
  </si>
  <si>
    <t>Perfluorooctanoic acid</t>
  </si>
  <si>
    <t>PFOA</t>
  </si>
  <si>
    <t>335-67-1</t>
  </si>
  <si>
    <t>DTXSID8031865</t>
  </si>
  <si>
    <t>Permethrin</t>
  </si>
  <si>
    <t>Perm</t>
  </si>
  <si>
    <t>52645-53-1</t>
  </si>
  <si>
    <t>DTXSID8022292</t>
  </si>
  <si>
    <t>Phenacetin</t>
  </si>
  <si>
    <t>Pacn</t>
  </si>
  <si>
    <t>62-44-2</t>
  </si>
  <si>
    <t>DTXSID1021116</t>
  </si>
  <si>
    <t>Phenytoin</t>
  </si>
  <si>
    <t>Pytn</t>
  </si>
  <si>
    <t>57-41-0</t>
  </si>
  <si>
    <t>DTXSID8020541</t>
  </si>
  <si>
    <t>40, 25</t>
  </si>
  <si>
    <t>Propamocarb hydrochloride</t>
  </si>
  <si>
    <t>Prop</t>
  </si>
  <si>
    <t>25606-41-1</t>
  </si>
  <si>
    <t>DTXSID6034849</t>
  </si>
  <si>
    <t>Propyzamide</t>
  </si>
  <si>
    <t>Prpy</t>
  </si>
  <si>
    <t>23950-58-5</t>
  </si>
  <si>
    <t>DTXSID2020420</t>
  </si>
  <si>
    <t>3.2, 3.1, 3</t>
  </si>
  <si>
    <t>0.6, 0.61</t>
  </si>
  <si>
    <t>3.2, 3.1</t>
  </si>
  <si>
    <t>Pyrithiobac sodium</t>
  </si>
  <si>
    <t>Pyri</t>
  </si>
  <si>
    <t>123343-16-8</t>
  </si>
  <si>
    <t>DTXSID8032673</t>
  </si>
  <si>
    <t>0.21, 0.2, 0.19</t>
  </si>
  <si>
    <t>Resmethrin</t>
  </si>
  <si>
    <t>Resm</t>
  </si>
  <si>
    <t>10453-86-8</t>
  </si>
  <si>
    <t>DTXSID7022253</t>
  </si>
  <si>
    <t>S-Bioallethrin</t>
  </si>
  <si>
    <t>S-Bi</t>
  </si>
  <si>
    <t>28434-00-6</t>
  </si>
  <si>
    <t>DTXSID2039336</t>
  </si>
  <si>
    <t>Simazine</t>
  </si>
  <si>
    <t>Sima</t>
  </si>
  <si>
    <t>122-34-9</t>
  </si>
  <si>
    <t>DTXSID4021268</t>
  </si>
  <si>
    <t>Tolbutamide</t>
  </si>
  <si>
    <t>Tolb</t>
  </si>
  <si>
    <t>64-77-7</t>
  </si>
  <si>
    <t>DTXSID8021359</t>
  </si>
  <si>
    <t>Triclosan</t>
  </si>
  <si>
    <t>Tric</t>
  </si>
  <si>
    <t>3380-34-5</t>
  </si>
  <si>
    <t>DTXSID5032498</t>
  </si>
  <si>
    <t>Valproic acid</t>
  </si>
  <si>
    <t>Valp</t>
  </si>
  <si>
    <t>99-66-1</t>
  </si>
  <si>
    <t>DTXSID6023733</t>
  </si>
  <si>
    <t>200, 600</t>
  </si>
  <si>
    <t>10, 50, 100</t>
  </si>
  <si>
    <t>Vdist.sd</t>
  </si>
  <si>
    <t>Inf</t>
  </si>
  <si>
    <t>OneComp.AIC</t>
  </si>
  <si>
    <t>TwoComp.AIC</t>
  </si>
  <si>
    <t>kelim.sd</t>
  </si>
  <si>
    <t>kgutabs.sd</t>
  </si>
  <si>
    <t>Fbio</t>
  </si>
  <si>
    <t>Fbio.sd</t>
  </si>
  <si>
    <t>Css</t>
  </si>
  <si>
    <t>Css.sd</t>
  </si>
  <si>
    <t>Selected Model</t>
  </si>
  <si>
    <r>
      <t>V</t>
    </r>
    <r>
      <rPr>
        <b/>
        <vertAlign val="subscript"/>
        <sz val="7"/>
        <color rgb="FFFFFFFF"/>
        <rFont val="Calibri"/>
        <family val="2"/>
        <scheme val="minor"/>
      </rPr>
      <t>d</t>
    </r>
    <r>
      <rPr>
        <b/>
        <sz val="7"/>
        <color rgb="FFFFFFFF"/>
        <rFont val="Calibri"/>
        <family val="2"/>
        <scheme val="minor"/>
      </rPr>
      <t xml:space="preserve"> (L/kg BW)</t>
    </r>
  </si>
  <si>
    <r>
      <t>k</t>
    </r>
    <r>
      <rPr>
        <b/>
        <vertAlign val="subscript"/>
        <sz val="7"/>
        <color rgb="FFFFFFFF"/>
        <rFont val="Calibri"/>
        <family val="2"/>
        <scheme val="minor"/>
      </rPr>
      <t>elim</t>
    </r>
    <r>
      <rPr>
        <b/>
        <sz val="7"/>
        <color rgb="FFFFFFFF"/>
        <rFont val="Calibri"/>
        <family val="2"/>
        <scheme val="minor"/>
      </rPr>
      <t xml:space="preserve"> (1/h)</t>
    </r>
  </si>
  <si>
    <r>
      <t>CL</t>
    </r>
    <r>
      <rPr>
        <b/>
        <vertAlign val="subscript"/>
        <sz val="7"/>
        <color rgb="FFFFFFFF"/>
        <rFont val="Calibri"/>
        <family val="2"/>
        <scheme val="minor"/>
      </rPr>
      <t>tot</t>
    </r>
    <r>
      <rPr>
        <b/>
        <sz val="7"/>
        <color rgb="FFFFFFFF"/>
        <rFont val="Calibri"/>
        <family val="2"/>
        <scheme val="minor"/>
      </rPr>
      <t xml:space="preserve"> (L/kg BW/h)</t>
    </r>
  </si>
  <si>
    <r>
      <t>k</t>
    </r>
    <r>
      <rPr>
        <b/>
        <vertAlign val="subscript"/>
        <sz val="7"/>
        <color rgb="FFFFFFFF"/>
        <rFont val="Calibri"/>
        <family val="2"/>
        <scheme val="minor"/>
      </rPr>
      <t>gutabs</t>
    </r>
    <r>
      <rPr>
        <b/>
        <sz val="7"/>
        <color rgb="FFFFFFFF"/>
        <rFont val="Calibri"/>
        <family val="2"/>
        <scheme val="minor"/>
      </rPr>
      <t xml:space="preserve"> (1/h)</t>
    </r>
  </si>
  <si>
    <r>
      <t>F</t>
    </r>
    <r>
      <rPr>
        <b/>
        <vertAlign val="subscript"/>
        <sz val="7"/>
        <color rgb="FFFFFFFF"/>
        <rFont val="Calibri"/>
        <family val="2"/>
        <scheme val="minor"/>
      </rPr>
      <t>bio</t>
    </r>
  </si>
  <si>
    <r>
      <t>C</t>
    </r>
    <r>
      <rPr>
        <b/>
        <vertAlign val="subscript"/>
        <sz val="7"/>
        <color rgb="FFFFFFFF"/>
        <rFont val="Calibri"/>
        <family val="2"/>
        <scheme val="minor"/>
      </rPr>
      <t xml:space="preserve">ss </t>
    </r>
    <r>
      <rPr>
        <b/>
        <sz val="7"/>
        <color rgb="FFFFFFFF"/>
        <rFont val="Calibri"/>
        <family val="2"/>
        <scheme val="minor"/>
      </rPr>
      <t>(mg/L)</t>
    </r>
  </si>
  <si>
    <t>Zwitterionic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</si>
</sst>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"/>
    <numFmt numFmtId="165" formatCode="0.0"/>
    <numFmt numFmtId="166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color rgb="FFFFFFFF"/>
      <name val="Calibri"/>
      <family val="2"/>
      <scheme val="minor"/>
    </font>
    <font>
      <b/>
      <vertAlign val="subscript"/>
      <sz val="7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B9BD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 style="medium">
        <color rgb="FFFFFFFF"/>
      </left>
      <right/>
      <top/>
      <bottom style="thick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1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8" fillId="33" borderId="10" xfId="0" applyFont="1" applyFill="1" applyBorder="1" applyAlignment="1">
      <alignment vertical="center"/>
    </xf>
    <xf numFmtId="0" fontId="18" fillId="33" borderId="10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vertical="center"/>
    </xf>
    <xf numFmtId="0" fontId="18" fillId="33" borderId="12" xfId="0" applyFont="1" applyFill="1" applyBorder="1" applyAlignment="1">
      <alignment vertical="center" wrapText="1"/>
    </xf>
    <xf numFmtId="166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5"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164" formatCode="0.00000"/>
      <alignment horizontal="right" vertical="bottom" textRotation="0" wrapText="0" indent="0" justifyLastLine="0" shrinkToFit="0" readingOrder="0"/>
    </dxf>
    <dxf>
      <numFmt numFmtId="164" formatCode="0.00000"/>
      <alignment horizontal="right" vertical="bottom" textRotation="0" wrapText="0" indent="0" justifyLastLine="0" shrinkToFit="0" readingOrder="0"/>
    </dxf>
    <dxf>
      <numFmt numFmtId="165" formatCode="0.0"/>
      <alignment horizontal="right" vertical="bottom" textRotation="0" wrapText="0" indent="0" justifyLastLine="0" shrinkToFit="0" readingOrder="0"/>
    </dxf>
    <dxf>
      <numFmt numFmtId="165" formatCode="0.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5" formatCode="0.00E+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5" formatCode="0.00E+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1:AD49" totalsRowShown="0" dataDxfId="44">
  <autoFilter ref="A1:AD49"/>
  <tableColumns count="30">
    <tableColumn id="1" name="Compound"/>
    <tableColumn id="2" name="Abbrev"/>
    <tableColumn id="3" name="CAS" dataDxfId="43"/>
    <tableColumn id="4" name="CAS.Check"/>
    <tableColumn id="5" name="DSSTox"/>
    <tableColumn id="6" name="Source" dataDxfId="42"/>
    <tableColumn id="7" name="OralDose" dataDxfId="41"/>
    <tableColumn id="8" name="ivDose" dataDxfId="40"/>
    <tableColumn id="9" name="MW" dataDxfId="39"/>
    <tableColumn id="10" name="logP" dataDxfId="38"/>
    <tableColumn id="11" name="WaterSol" dataDxfId="37"/>
    <tableColumn id="12" name="Charge.State" dataDxfId="36"/>
    <tableColumn id="13" name="Neutral.pH74" dataDxfId="35"/>
    <tableColumn id="14" name="Positive.pH74" dataDxfId="34"/>
    <tableColumn id="15" name="Negative.pH74" dataDxfId="33"/>
    <tableColumn id="16" name="Clint" dataDxfId="32"/>
    <tableColumn id="17" name="Fup" dataDxfId="31"/>
    <tableColumn id="18" name="OneComp.AIC" dataDxfId="30"/>
    <tableColumn id="19" name="TwoComp.AIC" dataDxfId="29"/>
    <tableColumn id="20" name="SelectedModel" dataDxfId="28"/>
    <tableColumn id="21" name="Vdist" dataDxfId="27"/>
    <tableColumn id="22" name="Vdist.sd" dataDxfId="26"/>
    <tableColumn id="23" name="kelim" dataDxfId="25"/>
    <tableColumn id="24" name="kelim.sd" dataDxfId="24"/>
    <tableColumn id="25" name="kgutabs" dataDxfId="23"/>
    <tableColumn id="26" name="kgutabs.sd" dataDxfId="22"/>
    <tableColumn id="27" name="Fbio" dataDxfId="21"/>
    <tableColumn id="28" name="Fbio.sd" dataDxfId="20"/>
    <tableColumn id="29" name="Css" dataDxfId="19"/>
    <tableColumn id="30" name="Css.sd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G50" totalsRowShown="0">
  <autoFilter ref="A1:G50"/>
  <tableColumns count="7">
    <tableColumn id="1" name="Compound"/>
    <tableColumn id="2" name="Abbrev"/>
    <tableColumn id="3" name="CAS" dataDxfId="17"/>
    <tableColumn id="5" name="DSSTox"/>
    <tableColumn id="6" name="Source" dataDxfId="16"/>
    <tableColumn id="7" name="OralDose" dataDxfId="15"/>
    <tableColumn id="8" name="ivDose" dataDxfId="1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I49" totalsRowShown="0">
  <autoFilter ref="A1:I49"/>
  <tableColumns count="9">
    <tableColumn id="1" name="Compound"/>
    <tableColumn id="7" name="Source" dataDxfId="13" totalsRowDxfId="12"/>
    <tableColumn id="2" name="Selected Model"/>
    <tableColumn id="3" name="Vd (L/kg BW)" dataDxfId="11" totalsRowDxfId="10"/>
    <tableColumn id="4" name="kelim (1/h)" dataDxfId="9" totalsRowDxfId="8"/>
    <tableColumn id="8" name="CLtot (L/kg BW/h)" dataDxfId="7" totalsRowDxfId="6">
      <calculatedColumnFormula>IF(ISERROR(Table2[[#This Row],[kelim (1/h)]]*Table2[[#This Row],[Vd (L/kg BW)]]),"NA",Table2[[#This Row],[kelim (1/h)]]*Table2[[#This Row],[Vd (L/kg BW)]])</calculatedColumnFormula>
    </tableColumn>
    <tableColumn id="5" name="kgutabs (1/h)" dataDxfId="5" totalsRowDxfId="4"/>
    <tableColumn id="6" name="Fbio" dataDxfId="3" totalsRowDxfId="2"/>
    <tableColumn id="9" name="Css (mg/L)" dataDxfId="1" totalsRowDxfId="0">
      <calculatedColumnFormula>Table2[[#This Row],[Fbio]]/Table2[[#This Row],[CLtot (L/kg BW/h)]]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9"/>
  <sheetViews>
    <sheetView topLeftCell="A22" workbookViewId="0">
      <selection activeCell="A50" sqref="A50:XFD50"/>
    </sheetView>
  </sheetViews>
  <sheetFormatPr defaultRowHeight="15" x14ac:dyDescent="0.25"/>
  <cols>
    <col min="1" max="1" width="26.140625" bestFit="1" customWidth="1"/>
    <col min="2" max="2" width="9.7109375" bestFit="1" customWidth="1"/>
    <col min="3" max="3" width="11.42578125" bestFit="1" customWidth="1"/>
    <col min="4" max="4" width="12.5703125" bestFit="1" customWidth="1"/>
    <col min="5" max="5" width="14.42578125" bestFit="1" customWidth="1"/>
    <col min="6" max="6" width="9.28515625" bestFit="1" customWidth="1"/>
    <col min="7" max="7" width="12.7109375" bestFit="1" customWidth="1"/>
    <col min="8" max="8" width="13.85546875" bestFit="1" customWidth="1"/>
    <col min="9" max="9" width="7.5703125" bestFit="1" customWidth="1"/>
    <col min="10" max="10" width="7.140625" bestFit="1" customWidth="1"/>
    <col min="11" max="11" width="11.5703125" bestFit="1" customWidth="1"/>
    <col min="12" max="12" width="14.5703125" bestFit="1" customWidth="1"/>
    <col min="13" max="13" width="15" bestFit="1" customWidth="1"/>
    <col min="14" max="14" width="15.5703125" bestFit="1" customWidth="1"/>
    <col min="15" max="15" width="16.42578125" bestFit="1" customWidth="1"/>
    <col min="16" max="16" width="7.5703125" bestFit="1" customWidth="1"/>
    <col min="17" max="17" width="8.28515625" bestFit="1" customWidth="1"/>
    <col min="18" max="18" width="17" bestFit="1" customWidth="1"/>
    <col min="19" max="19" width="10.5703125" customWidth="1"/>
    <col min="20" max="20" width="10.42578125" bestFit="1" customWidth="1"/>
    <col min="21" max="21" width="8.28515625" bestFit="1" customWidth="1"/>
    <col min="22" max="22" width="10.140625" bestFit="1" customWidth="1"/>
    <col min="23" max="24" width="11.140625" bestFit="1" customWidth="1"/>
    <col min="25" max="25" width="10.140625" bestFit="1" customWidth="1"/>
    <col min="26" max="26" width="12.7109375" bestFit="1" customWidth="1"/>
  </cols>
  <sheetData>
    <row r="1" spans="1:3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235</v>
      </c>
      <c r="S1" t="s">
        <v>236</v>
      </c>
      <c r="T1" t="s">
        <v>17</v>
      </c>
      <c r="U1" t="s">
        <v>18</v>
      </c>
      <c r="V1" t="s">
        <v>233</v>
      </c>
      <c r="W1" t="s">
        <v>19</v>
      </c>
      <c r="X1" t="s">
        <v>237</v>
      </c>
      <c r="Y1" t="s">
        <v>20</v>
      </c>
      <c r="Z1" t="s">
        <v>238</v>
      </c>
      <c r="AA1" t="s">
        <v>239</v>
      </c>
      <c r="AB1" t="s">
        <v>240</v>
      </c>
      <c r="AC1" t="s">
        <v>241</v>
      </c>
      <c r="AD1" t="s">
        <v>242</v>
      </c>
    </row>
    <row r="2" spans="1:30" x14ac:dyDescent="0.25">
      <c r="A2" t="s">
        <v>21</v>
      </c>
      <c r="B2" t="s">
        <v>22</v>
      </c>
      <c r="C2" s="1" t="s">
        <v>23</v>
      </c>
      <c r="D2" t="b">
        <v>1</v>
      </c>
      <c r="E2" t="s">
        <v>24</v>
      </c>
      <c r="F2">
        <v>2</v>
      </c>
      <c r="G2">
        <v>1</v>
      </c>
      <c r="H2" t="s">
        <v>25</v>
      </c>
      <c r="I2">
        <v>221.02999877929699</v>
      </c>
      <c r="J2">
        <v>2.81</v>
      </c>
      <c r="K2">
        <v>677</v>
      </c>
      <c r="L2" t="s">
        <v>26</v>
      </c>
      <c r="M2" s="4">
        <v>2.5703297151222602E-5</v>
      </c>
      <c r="N2">
        <v>0</v>
      </c>
      <c r="O2">
        <v>0.99997429670284899</v>
      </c>
      <c r="P2">
        <v>0</v>
      </c>
      <c r="Q2">
        <v>2.9758E-2</v>
      </c>
      <c r="R2">
        <v>1272.47384712244</v>
      </c>
      <c r="S2">
        <v>1437.4449689041701</v>
      </c>
      <c r="T2" t="s">
        <v>27</v>
      </c>
      <c r="U2">
        <v>1.1572760612770201</v>
      </c>
      <c r="V2">
        <v>0.13398658207512401</v>
      </c>
      <c r="W2">
        <v>0.66246481136205404</v>
      </c>
      <c r="X2">
        <v>0.115702004070611</v>
      </c>
      <c r="Y2">
        <v>0.23064963191137</v>
      </c>
      <c r="Z2">
        <v>7.0757462099044904E-2</v>
      </c>
      <c r="AA2">
        <v>0.99997639809970895</v>
      </c>
      <c r="AB2">
        <v>0.139372399542774</v>
      </c>
      <c r="AC2">
        <v>5.4347393961720301E-2</v>
      </c>
      <c r="AD2">
        <v>-2.68040190059213</v>
      </c>
    </row>
    <row r="3" spans="1:30" x14ac:dyDescent="0.25">
      <c r="A3" t="s">
        <v>28</v>
      </c>
      <c r="B3" t="s">
        <v>29</v>
      </c>
      <c r="C3" s="1" t="s">
        <v>30</v>
      </c>
      <c r="D3" t="b">
        <v>1</v>
      </c>
      <c r="E3" t="s">
        <v>31</v>
      </c>
      <c r="F3">
        <v>2</v>
      </c>
      <c r="G3" t="s">
        <v>32</v>
      </c>
      <c r="H3" t="s">
        <v>33</v>
      </c>
      <c r="I3">
        <v>269.76998901367199</v>
      </c>
      <c r="J3">
        <v>3.5899998381415901</v>
      </c>
      <c r="K3">
        <v>240</v>
      </c>
      <c r="L3" t="s">
        <v>34</v>
      </c>
      <c r="M3">
        <v>1</v>
      </c>
      <c r="N3">
        <v>0</v>
      </c>
      <c r="O3">
        <v>0</v>
      </c>
      <c r="P3">
        <v>41.66</v>
      </c>
      <c r="Q3">
        <v>0.59734100000000001</v>
      </c>
      <c r="R3">
        <v>423.879098198164</v>
      </c>
      <c r="S3">
        <v>383.345383553158</v>
      </c>
      <c r="T3" t="s">
        <v>35</v>
      </c>
      <c r="U3">
        <v>297.73765343644402</v>
      </c>
      <c r="V3" t="s">
        <v>45</v>
      </c>
      <c r="W3">
        <v>0.174789579257219</v>
      </c>
      <c r="X3" t="s">
        <v>45</v>
      </c>
      <c r="Y3">
        <v>22.539694915559799</v>
      </c>
      <c r="Z3">
        <v>0.15143698022256999</v>
      </c>
      <c r="AA3">
        <v>3.08028749499497E-2</v>
      </c>
      <c r="AB3">
        <v>0.224330523307118</v>
      </c>
      <c r="AC3" s="4">
        <v>2.46621373910008E-5</v>
      </c>
      <c r="AD3" t="s">
        <v>45</v>
      </c>
    </row>
    <row r="4" spans="1:30" x14ac:dyDescent="0.25">
      <c r="A4" t="s">
        <v>36</v>
      </c>
      <c r="B4" t="s">
        <v>37</v>
      </c>
      <c r="C4" s="1" t="s">
        <v>38</v>
      </c>
      <c r="D4" t="b">
        <v>1</v>
      </c>
      <c r="E4" t="s">
        <v>39</v>
      </c>
      <c r="F4">
        <v>3</v>
      </c>
      <c r="G4" t="s">
        <v>40</v>
      </c>
      <c r="H4">
        <v>1.2</v>
      </c>
      <c r="I4">
        <v>308.76998901367199</v>
      </c>
      <c r="J4">
        <v>2.12</v>
      </c>
      <c r="K4">
        <v>13.1</v>
      </c>
      <c r="L4" t="s">
        <v>34</v>
      </c>
      <c r="M4">
        <v>0.99999000009999905</v>
      </c>
      <c r="N4" s="4">
        <v>9.9999000009999908E-6</v>
      </c>
      <c r="O4">
        <v>0</v>
      </c>
      <c r="P4">
        <v>33</v>
      </c>
      <c r="Q4">
        <v>0.35</v>
      </c>
      <c r="R4">
        <v>-1650.22539641247</v>
      </c>
      <c r="S4" t="s">
        <v>234</v>
      </c>
      <c r="T4" t="s">
        <v>27</v>
      </c>
      <c r="U4">
        <v>3.6299618598104502</v>
      </c>
      <c r="V4">
        <v>4.95380148337424E-2</v>
      </c>
      <c r="W4">
        <v>2.4393075025436302</v>
      </c>
      <c r="X4">
        <v>2.23120135408033E-2</v>
      </c>
      <c r="Y4">
        <v>0.86161790478259304</v>
      </c>
      <c r="Z4">
        <v>1.8081847945280099E-2</v>
      </c>
      <c r="AA4">
        <v>0.353864122324833</v>
      </c>
      <c r="AB4">
        <v>4.5198613461524102E-2</v>
      </c>
      <c r="AC4">
        <v>1.66516271267676E-3</v>
      </c>
      <c r="AD4">
        <v>-1.3451664920043099E-2</v>
      </c>
    </row>
    <row r="5" spans="1:30" x14ac:dyDescent="0.25">
      <c r="A5" t="s">
        <v>41</v>
      </c>
      <c r="B5" t="s">
        <v>42</v>
      </c>
      <c r="C5" s="1" t="s">
        <v>43</v>
      </c>
      <c r="D5" t="b">
        <v>1</v>
      </c>
      <c r="E5" t="s">
        <v>44</v>
      </c>
      <c r="F5">
        <v>3</v>
      </c>
      <c r="G5" t="s">
        <v>45</v>
      </c>
      <c r="H5">
        <v>15</v>
      </c>
      <c r="I5">
        <v>188.23</v>
      </c>
      <c r="J5">
        <v>0.38021124171160597</v>
      </c>
      <c r="K5" s="4">
        <v>100000</v>
      </c>
      <c r="L5" t="s">
        <v>34</v>
      </c>
      <c r="M5">
        <v>0.99999990667457905</v>
      </c>
      <c r="N5" s="4">
        <v>9.3325421370063998E-8</v>
      </c>
      <c r="O5">
        <v>0</v>
      </c>
      <c r="P5">
        <v>0.03</v>
      </c>
      <c r="Q5">
        <v>0.97</v>
      </c>
      <c r="R5">
        <v>-300.83469459187802</v>
      </c>
      <c r="S5">
        <v>-361.20256136714198</v>
      </c>
      <c r="T5" t="s">
        <v>35</v>
      </c>
      <c r="U5">
        <v>1.91803807638109</v>
      </c>
      <c r="V5" t="s">
        <v>45</v>
      </c>
      <c r="W5">
        <v>0.11394464271561</v>
      </c>
      <c r="X5">
        <v>-2.3692288091588098</v>
      </c>
      <c r="Y5" t="s">
        <v>45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</row>
    <row r="6" spans="1:30" x14ac:dyDescent="0.25">
      <c r="A6" t="s">
        <v>46</v>
      </c>
      <c r="B6" t="s">
        <v>47</v>
      </c>
      <c r="C6" s="1" t="s">
        <v>48</v>
      </c>
      <c r="D6" t="b">
        <v>1</v>
      </c>
      <c r="E6" t="s">
        <v>49</v>
      </c>
      <c r="F6" t="s">
        <v>50</v>
      </c>
      <c r="G6" t="s">
        <v>51</v>
      </c>
      <c r="H6" t="s">
        <v>52</v>
      </c>
      <c r="I6">
        <v>397.5</v>
      </c>
      <c r="J6">
        <v>3.44999954831097</v>
      </c>
      <c r="K6">
        <v>25</v>
      </c>
      <c r="L6" t="s">
        <v>53</v>
      </c>
      <c r="M6">
        <v>1.65683724204291E-3</v>
      </c>
      <c r="N6">
        <v>0.99834316275795698</v>
      </c>
      <c r="O6">
        <v>0</v>
      </c>
      <c r="P6">
        <v>37.520000000000003</v>
      </c>
      <c r="Q6">
        <v>8.1829999999999993E-3</v>
      </c>
      <c r="R6">
        <v>187.188702350222</v>
      </c>
      <c r="S6">
        <v>-860.846631382856</v>
      </c>
      <c r="T6" t="s">
        <v>35</v>
      </c>
      <c r="U6">
        <v>3.28449768539208</v>
      </c>
      <c r="V6" t="s">
        <v>45</v>
      </c>
      <c r="W6">
        <v>0.36160542921989303</v>
      </c>
      <c r="X6">
        <v>-8.9549318490455193E-2</v>
      </c>
      <c r="Y6">
        <v>3.0724974739805</v>
      </c>
      <c r="Z6">
        <v>4.0881668736179801E-2</v>
      </c>
      <c r="AA6">
        <v>5.3060098793424999E-2</v>
      </c>
      <c r="AB6">
        <v>7.6676905314256694E-2</v>
      </c>
      <c r="AC6">
        <v>1.8614565781258001E-3</v>
      </c>
      <c r="AD6" t="s">
        <v>45</v>
      </c>
    </row>
    <row r="7" spans="1:30" x14ac:dyDescent="0.25">
      <c r="A7" t="s">
        <v>46</v>
      </c>
      <c r="B7" t="s">
        <v>47</v>
      </c>
      <c r="C7" s="1" t="s">
        <v>48</v>
      </c>
      <c r="D7" t="b">
        <v>1</v>
      </c>
      <c r="E7" t="s">
        <v>49</v>
      </c>
      <c r="F7">
        <v>1</v>
      </c>
      <c r="G7">
        <v>5</v>
      </c>
      <c r="H7">
        <v>1</v>
      </c>
      <c r="I7">
        <v>397.5</v>
      </c>
      <c r="J7">
        <v>3.44999954831097</v>
      </c>
      <c r="K7">
        <v>25</v>
      </c>
      <c r="L7" t="s">
        <v>53</v>
      </c>
      <c r="M7">
        <v>1.65683724204291E-3</v>
      </c>
      <c r="N7">
        <v>0.99834316275795698</v>
      </c>
      <c r="O7">
        <v>0</v>
      </c>
      <c r="P7">
        <v>37.520000000000003</v>
      </c>
      <c r="Q7">
        <v>8.1829999999999993E-3</v>
      </c>
      <c r="R7">
        <v>-901.02437191825697</v>
      </c>
      <c r="S7" t="s">
        <v>234</v>
      </c>
      <c r="T7" t="s">
        <v>27</v>
      </c>
      <c r="U7">
        <v>2.66245634011347</v>
      </c>
      <c r="V7">
        <v>3.8245212245250897E-2</v>
      </c>
      <c r="W7">
        <v>1.2961919659426999</v>
      </c>
      <c r="X7">
        <v>2.2276265399386201E-2</v>
      </c>
      <c r="Y7">
        <v>1.2411362429874799</v>
      </c>
      <c r="Z7">
        <v>0.11221640123197101</v>
      </c>
      <c r="AA7">
        <v>9.2928989241647005E-3</v>
      </c>
      <c r="AB7">
        <v>7.08093367033302E-2</v>
      </c>
      <c r="AC7">
        <v>1.12198784415344E-4</v>
      </c>
      <c r="AD7">
        <v>-8.0932214234511704E-2</v>
      </c>
    </row>
    <row r="8" spans="1:30" x14ac:dyDescent="0.25">
      <c r="A8" t="s">
        <v>46</v>
      </c>
      <c r="B8" t="s">
        <v>47</v>
      </c>
      <c r="C8" s="1" t="s">
        <v>48</v>
      </c>
      <c r="D8" t="b">
        <v>1</v>
      </c>
      <c r="E8" t="s">
        <v>49</v>
      </c>
      <c r="F8">
        <v>2</v>
      </c>
      <c r="G8" t="s">
        <v>54</v>
      </c>
      <c r="H8" t="s">
        <v>52</v>
      </c>
      <c r="I8">
        <v>397.5</v>
      </c>
      <c r="J8">
        <v>3.44999954831097</v>
      </c>
      <c r="K8">
        <v>25</v>
      </c>
      <c r="L8" t="s">
        <v>53</v>
      </c>
      <c r="M8">
        <v>1.65683724204291E-3</v>
      </c>
      <c r="N8">
        <v>0.99834316275795698</v>
      </c>
      <c r="O8">
        <v>0</v>
      </c>
      <c r="P8">
        <v>37.520000000000003</v>
      </c>
      <c r="Q8">
        <v>8.1829999999999993E-3</v>
      </c>
      <c r="R8">
        <v>367.107979984753</v>
      </c>
      <c r="S8">
        <v>223.606222135102</v>
      </c>
      <c r="T8" t="s">
        <v>35</v>
      </c>
      <c r="U8">
        <v>11.652299576892799</v>
      </c>
      <c r="V8" t="s">
        <v>45</v>
      </c>
      <c r="W8">
        <v>0.20080376639574599</v>
      </c>
      <c r="X8" t="s">
        <v>45</v>
      </c>
      <c r="Y8">
        <v>23.515700722355898</v>
      </c>
      <c r="Z8">
        <v>3.0595484010687998E-2</v>
      </c>
      <c r="AA8">
        <v>2.6198690896047701E-2</v>
      </c>
      <c r="AB8">
        <v>0.101599765293795</v>
      </c>
      <c r="AC8">
        <v>4.6653566871626202E-4</v>
      </c>
      <c r="AD8" t="s">
        <v>45</v>
      </c>
    </row>
    <row r="9" spans="1:30" x14ac:dyDescent="0.25">
      <c r="A9" t="s">
        <v>55</v>
      </c>
      <c r="B9" t="s">
        <v>56</v>
      </c>
      <c r="C9" s="1" t="s">
        <v>57</v>
      </c>
      <c r="D9" t="b">
        <v>1</v>
      </c>
      <c r="E9" t="s">
        <v>58</v>
      </c>
      <c r="F9">
        <v>1</v>
      </c>
      <c r="G9" t="s">
        <v>45</v>
      </c>
      <c r="H9">
        <v>0.6</v>
      </c>
      <c r="I9">
        <v>228.29100036621099</v>
      </c>
      <c r="J9">
        <v>4.0399999223113499</v>
      </c>
      <c r="K9">
        <v>120</v>
      </c>
      <c r="L9" t="s">
        <v>34</v>
      </c>
      <c r="M9">
        <v>0.99584438159793798</v>
      </c>
      <c r="N9">
        <v>0</v>
      </c>
      <c r="O9">
        <v>4.1556184020623398E-3</v>
      </c>
      <c r="P9">
        <v>0</v>
      </c>
      <c r="Q9">
        <v>0.71811499999999995</v>
      </c>
      <c r="R9">
        <v>-341.60132345300599</v>
      </c>
      <c r="S9">
        <v>-364.25616053625799</v>
      </c>
      <c r="T9" t="s">
        <v>35</v>
      </c>
      <c r="U9">
        <v>0.29816740467706299</v>
      </c>
      <c r="V9" t="s">
        <v>45</v>
      </c>
      <c r="W9">
        <v>2.51355168919899</v>
      </c>
      <c r="X9">
        <v>5.1375550315123697E-2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</row>
    <row r="10" spans="1:30" x14ac:dyDescent="0.25">
      <c r="A10" t="s">
        <v>59</v>
      </c>
      <c r="B10" t="s">
        <v>60</v>
      </c>
      <c r="C10" s="1" t="s">
        <v>61</v>
      </c>
      <c r="D10" t="b">
        <v>1</v>
      </c>
      <c r="E10" t="s">
        <v>62</v>
      </c>
      <c r="F10">
        <v>1</v>
      </c>
      <c r="G10">
        <v>5</v>
      </c>
      <c r="H10">
        <v>1</v>
      </c>
      <c r="I10">
        <v>343.20999145507801</v>
      </c>
      <c r="J10">
        <v>4.9200000150883598</v>
      </c>
      <c r="K10">
        <v>20.190000000000001</v>
      </c>
      <c r="L10" t="s">
        <v>34</v>
      </c>
      <c r="M10">
        <v>0.99949906382918596</v>
      </c>
      <c r="N10">
        <v>0</v>
      </c>
      <c r="O10">
        <v>5.0093617081360003E-4</v>
      </c>
      <c r="P10">
        <v>12.04</v>
      </c>
      <c r="Q10">
        <v>4.6643999999999998E-2</v>
      </c>
      <c r="R10">
        <v>-2581.9213179355002</v>
      </c>
      <c r="S10">
        <v>-4642.8741321678599</v>
      </c>
      <c r="T10" t="s">
        <v>35</v>
      </c>
      <c r="U10">
        <v>46.229123284748397</v>
      </c>
      <c r="V10" t="s">
        <v>45</v>
      </c>
      <c r="W10">
        <v>1.9770336381753201E-2</v>
      </c>
      <c r="X10">
        <v>-0.26537200855147802</v>
      </c>
      <c r="Y10">
        <v>2.1797753345315098</v>
      </c>
      <c r="Z10">
        <v>1.6833817380686001E-2</v>
      </c>
      <c r="AA10">
        <v>0.25131940516691398</v>
      </c>
      <c r="AB10">
        <v>2.4939138532909001E-2</v>
      </c>
      <c r="AC10">
        <v>1.14573733554558E-2</v>
      </c>
      <c r="AD10" t="s">
        <v>45</v>
      </c>
    </row>
    <row r="11" spans="1:30" x14ac:dyDescent="0.25">
      <c r="A11" t="s">
        <v>63</v>
      </c>
      <c r="B11" t="s">
        <v>64</v>
      </c>
      <c r="C11" s="1" t="s">
        <v>65</v>
      </c>
      <c r="D11" t="b">
        <v>1</v>
      </c>
      <c r="E11" t="s">
        <v>66</v>
      </c>
      <c r="F11">
        <v>3</v>
      </c>
      <c r="G11">
        <v>10</v>
      </c>
      <c r="H11">
        <v>1</v>
      </c>
      <c r="I11">
        <v>551.62</v>
      </c>
      <c r="J11">
        <v>4.9400000050082697</v>
      </c>
      <c r="K11">
        <v>0.81069999999999998</v>
      </c>
      <c r="L11" t="s">
        <v>34</v>
      </c>
      <c r="M11">
        <v>0.975496632449664</v>
      </c>
      <c r="N11">
        <v>2.4503367550336001E-2</v>
      </c>
      <c r="O11">
        <v>0</v>
      </c>
      <c r="P11">
        <v>2.4</v>
      </c>
      <c r="Q11">
        <v>0.02</v>
      </c>
      <c r="R11">
        <v>-247.89126668484801</v>
      </c>
      <c r="S11">
        <v>-212.398270245818</v>
      </c>
      <c r="T11" t="s">
        <v>27</v>
      </c>
      <c r="U11">
        <v>2.9429156066170998</v>
      </c>
      <c r="V11">
        <v>5.96113845291915E-2</v>
      </c>
      <c r="W11">
        <v>0.48756970679412998</v>
      </c>
      <c r="X11">
        <v>3.3706359937364601E-2</v>
      </c>
      <c r="Y11">
        <v>0.85960847089446302</v>
      </c>
      <c r="Z11">
        <v>0.11886207493819401</v>
      </c>
      <c r="AA11">
        <v>0.40734736657700099</v>
      </c>
      <c r="AB11">
        <v>7.8596630982669405E-2</v>
      </c>
      <c r="AC11">
        <v>1.1828758048064899E-2</v>
      </c>
      <c r="AD11">
        <v>-2.3303354286535901E-2</v>
      </c>
    </row>
    <row r="12" spans="1:30" x14ac:dyDescent="0.25">
      <c r="A12" t="s">
        <v>67</v>
      </c>
      <c r="B12" t="s">
        <v>68</v>
      </c>
      <c r="C12" s="1" t="s">
        <v>69</v>
      </c>
      <c r="D12" t="b">
        <v>1</v>
      </c>
      <c r="E12" t="s">
        <v>70</v>
      </c>
      <c r="F12">
        <v>1</v>
      </c>
      <c r="G12">
        <v>5</v>
      </c>
      <c r="H12">
        <v>1</v>
      </c>
      <c r="I12">
        <v>201.22500610351599</v>
      </c>
      <c r="J12">
        <v>2.4599952560473901</v>
      </c>
      <c r="K12">
        <v>110</v>
      </c>
      <c r="L12" t="s">
        <v>34</v>
      </c>
      <c r="M12">
        <v>0.99999995734205005</v>
      </c>
      <c r="N12">
        <v>0</v>
      </c>
      <c r="O12" s="4">
        <v>4.2657950060458599E-8</v>
      </c>
      <c r="P12">
        <v>14.97</v>
      </c>
      <c r="Q12">
        <v>0.37531799999999998</v>
      </c>
      <c r="R12">
        <v>-750.88645828447602</v>
      </c>
      <c r="S12">
        <v>-783.55277641481405</v>
      </c>
      <c r="T12" t="s">
        <v>35</v>
      </c>
      <c r="U12">
        <v>65.433338600875899</v>
      </c>
      <c r="V12" t="s">
        <v>45</v>
      </c>
      <c r="W12">
        <v>1.3471678594461201</v>
      </c>
      <c r="X12">
        <v>0.18971903183910599</v>
      </c>
      <c r="Y12">
        <v>11.766925142054401</v>
      </c>
      <c r="Z12">
        <v>8.8385586369369107E-2</v>
      </c>
      <c r="AA12">
        <v>0.30816335516392801</v>
      </c>
      <c r="AB12">
        <v>5.1511974172286298E-2</v>
      </c>
      <c r="AC12">
        <v>1.4566290246314901E-4</v>
      </c>
      <c r="AD12" t="s">
        <v>45</v>
      </c>
    </row>
    <row r="13" spans="1:30" x14ac:dyDescent="0.25">
      <c r="A13" t="s">
        <v>71</v>
      </c>
      <c r="B13" t="s">
        <v>72</v>
      </c>
      <c r="C13" s="1" t="s">
        <v>73</v>
      </c>
      <c r="D13" t="b">
        <v>1</v>
      </c>
      <c r="E13" t="s">
        <v>74</v>
      </c>
      <c r="F13">
        <v>3</v>
      </c>
      <c r="G13">
        <v>1000</v>
      </c>
      <c r="H13" t="s">
        <v>45</v>
      </c>
      <c r="I13">
        <v>191.19000244140599</v>
      </c>
      <c r="J13">
        <v>1.51995918075207</v>
      </c>
      <c r="K13">
        <v>29</v>
      </c>
      <c r="L13" t="s">
        <v>250</v>
      </c>
      <c r="M13">
        <v>0</v>
      </c>
      <c r="N13">
        <v>7.5422535539404804E-4</v>
      </c>
      <c r="O13">
        <v>4.9831175063005002E-3</v>
      </c>
      <c r="P13">
        <v>24</v>
      </c>
      <c r="Q13">
        <v>0.48723100000000003</v>
      </c>
      <c r="R13">
        <v>-122.598499566705</v>
      </c>
      <c r="S13" t="s">
        <v>234</v>
      </c>
      <c r="T13" t="s">
        <v>27</v>
      </c>
      <c r="U13" t="s">
        <v>45</v>
      </c>
      <c r="V13" t="s">
        <v>45</v>
      </c>
      <c r="W13">
        <v>0.36655681283525499</v>
      </c>
      <c r="X13">
        <v>2.1423489042481401E-2</v>
      </c>
      <c r="Y13">
        <v>0.79754699986021904</v>
      </c>
      <c r="Z13">
        <v>7.2370849675564494E-2</v>
      </c>
      <c r="AA13" t="s">
        <v>45</v>
      </c>
      <c r="AB13" t="s">
        <v>45</v>
      </c>
      <c r="AC13" t="s">
        <v>45</v>
      </c>
      <c r="AD13" t="s">
        <v>45</v>
      </c>
    </row>
    <row r="14" spans="1:30" x14ac:dyDescent="0.25">
      <c r="A14" t="s">
        <v>75</v>
      </c>
      <c r="B14" t="s">
        <v>76</v>
      </c>
      <c r="C14" s="1" t="s">
        <v>77</v>
      </c>
      <c r="D14" t="b">
        <v>1</v>
      </c>
      <c r="E14" t="s">
        <v>78</v>
      </c>
      <c r="F14">
        <v>2</v>
      </c>
      <c r="G14" t="s">
        <v>79</v>
      </c>
      <c r="H14" t="s">
        <v>80</v>
      </c>
      <c r="I14">
        <v>221.63999938964801</v>
      </c>
      <c r="J14">
        <v>1.10991586302379</v>
      </c>
      <c r="K14">
        <v>400</v>
      </c>
      <c r="L14" t="s">
        <v>34</v>
      </c>
      <c r="M14">
        <v>1</v>
      </c>
      <c r="N14">
        <v>0</v>
      </c>
      <c r="O14">
        <v>0</v>
      </c>
      <c r="P14">
        <v>0</v>
      </c>
      <c r="Q14">
        <v>0.48891699999999999</v>
      </c>
      <c r="R14">
        <v>1301.68609954573</v>
      </c>
      <c r="S14">
        <v>1356.5916743892501</v>
      </c>
      <c r="T14" t="s">
        <v>27</v>
      </c>
      <c r="U14">
        <v>9.0098914693691903</v>
      </c>
      <c r="V14">
        <v>9.9247998698274997E-2</v>
      </c>
      <c r="W14">
        <v>0.57640970121071</v>
      </c>
      <c r="X14">
        <v>5.7013122170065003E-2</v>
      </c>
      <c r="Y14">
        <v>0.47326923657625403</v>
      </c>
      <c r="Z14">
        <v>0.110123612786462</v>
      </c>
      <c r="AA14">
        <v>0.99978498374008695</v>
      </c>
      <c r="AB14">
        <v>0.123312381774351</v>
      </c>
      <c r="AC14">
        <v>8.0212957012531505E-3</v>
      </c>
      <c r="AD14">
        <v>-6.1513606965085003E-2</v>
      </c>
    </row>
    <row r="15" spans="1:30" x14ac:dyDescent="0.25">
      <c r="A15" t="s">
        <v>81</v>
      </c>
      <c r="B15" t="s">
        <v>82</v>
      </c>
      <c r="C15" s="1" t="s">
        <v>83</v>
      </c>
      <c r="D15" t="b">
        <v>1</v>
      </c>
      <c r="E15" t="s">
        <v>84</v>
      </c>
      <c r="F15">
        <v>3</v>
      </c>
      <c r="G15" t="s">
        <v>85</v>
      </c>
      <c r="H15" t="s">
        <v>45</v>
      </c>
      <c r="I15">
        <v>350.57000732421898</v>
      </c>
      <c r="J15">
        <v>4.7</v>
      </c>
      <c r="K15">
        <v>1.1200000000000001</v>
      </c>
      <c r="L15" t="s">
        <v>34</v>
      </c>
      <c r="M15">
        <v>1</v>
      </c>
      <c r="N15">
        <v>0</v>
      </c>
      <c r="O15">
        <v>0</v>
      </c>
      <c r="P15">
        <v>2.6</v>
      </c>
      <c r="Q15">
        <v>7.9319999999999998E-3</v>
      </c>
      <c r="R15">
        <v>178.97528622482599</v>
      </c>
      <c r="S15">
        <v>-134.32351626293899</v>
      </c>
      <c r="T15" t="s">
        <v>35</v>
      </c>
      <c r="U15" t="s">
        <v>45</v>
      </c>
      <c r="V15" t="s">
        <v>45</v>
      </c>
      <c r="W15">
        <v>0.22851059132849999</v>
      </c>
      <c r="X15">
        <v>-1.27042655345336E-4</v>
      </c>
      <c r="Y15">
        <v>0.57728147741246705</v>
      </c>
      <c r="Z15" s="4">
        <v>6.2251317186587404E-5</v>
      </c>
      <c r="AA15" t="s">
        <v>45</v>
      </c>
      <c r="AB15" t="s">
        <v>45</v>
      </c>
      <c r="AC15" t="s">
        <v>45</v>
      </c>
      <c r="AD15" t="s">
        <v>45</v>
      </c>
    </row>
    <row r="16" spans="1:30" x14ac:dyDescent="0.25">
      <c r="A16" t="s">
        <v>86</v>
      </c>
      <c r="B16" t="s">
        <v>87</v>
      </c>
      <c r="C16" s="1" t="s">
        <v>88</v>
      </c>
      <c r="D16" t="b">
        <v>1</v>
      </c>
      <c r="E16" t="s">
        <v>89</v>
      </c>
      <c r="F16">
        <v>1</v>
      </c>
      <c r="G16">
        <v>1</v>
      </c>
      <c r="H16">
        <v>0.2</v>
      </c>
      <c r="I16">
        <v>274.10000610351602</v>
      </c>
      <c r="J16">
        <v>2.4200052849590499</v>
      </c>
      <c r="K16">
        <v>37</v>
      </c>
      <c r="L16" t="s">
        <v>26</v>
      </c>
      <c r="M16">
        <v>1.44522196144948E-4</v>
      </c>
      <c r="N16">
        <v>0</v>
      </c>
      <c r="O16">
        <v>0.99985547780385498</v>
      </c>
      <c r="P16">
        <v>0</v>
      </c>
      <c r="Q16">
        <v>0</v>
      </c>
      <c r="R16">
        <v>-11436.3764352084</v>
      </c>
      <c r="S16">
        <v>-17169.899117913199</v>
      </c>
      <c r="T16" t="s">
        <v>35</v>
      </c>
      <c r="U16">
        <v>1.1928787893072901</v>
      </c>
      <c r="V16" t="s">
        <v>45</v>
      </c>
      <c r="W16">
        <v>3.1894946286986502E-3</v>
      </c>
      <c r="X16">
        <v>-1.31255111404044</v>
      </c>
      <c r="Y16">
        <v>2.9572946406723801</v>
      </c>
      <c r="Z16">
        <v>4.6030174975941002E-2</v>
      </c>
      <c r="AA16">
        <v>0.30905857526402503</v>
      </c>
      <c r="AB16">
        <v>1.5754868909585901E-2</v>
      </c>
      <c r="AC16">
        <v>3.3846312892342501</v>
      </c>
      <c r="AD16" t="s">
        <v>45</v>
      </c>
    </row>
    <row r="17" spans="1:30" x14ac:dyDescent="0.25">
      <c r="A17" t="s">
        <v>90</v>
      </c>
      <c r="B17" t="s">
        <v>91</v>
      </c>
      <c r="C17" s="1" t="s">
        <v>92</v>
      </c>
      <c r="D17" t="b">
        <v>1</v>
      </c>
      <c r="E17" t="s">
        <v>93</v>
      </c>
      <c r="F17">
        <v>3</v>
      </c>
      <c r="G17" t="s">
        <v>45</v>
      </c>
      <c r="H17" t="s">
        <v>94</v>
      </c>
      <c r="I17">
        <v>1202.63500976562</v>
      </c>
      <c r="J17">
        <v>2.9</v>
      </c>
      <c r="K17">
        <v>6.0967465655156396E-3</v>
      </c>
      <c r="L17" t="s">
        <v>34</v>
      </c>
      <c r="M17">
        <v>1</v>
      </c>
      <c r="N17">
        <v>0</v>
      </c>
      <c r="O17">
        <v>0</v>
      </c>
      <c r="P17">
        <v>3.5</v>
      </c>
      <c r="Q17">
        <v>8.3000000000000004E-2</v>
      </c>
      <c r="R17">
        <v>-424.37911488324499</v>
      </c>
      <c r="S17">
        <v>-1265.35726407727</v>
      </c>
      <c r="T17" t="s">
        <v>35</v>
      </c>
      <c r="U17">
        <v>1.97996235569324</v>
      </c>
      <c r="V17" t="s">
        <v>45</v>
      </c>
      <c r="W17">
        <v>8.2082481547093702E-2</v>
      </c>
      <c r="X17">
        <v>-0.114450095418551</v>
      </c>
      <c r="Y17" t="s">
        <v>45</v>
      </c>
      <c r="Z17" t="s">
        <v>45</v>
      </c>
      <c r="AA17" t="s">
        <v>45</v>
      </c>
      <c r="AB17" t="s">
        <v>45</v>
      </c>
      <c r="AC17" t="s">
        <v>45</v>
      </c>
      <c r="AD17" t="s">
        <v>45</v>
      </c>
    </row>
    <row r="18" spans="1:30" x14ac:dyDescent="0.25">
      <c r="A18" t="s">
        <v>95</v>
      </c>
      <c r="B18" t="s">
        <v>96</v>
      </c>
      <c r="C18" s="1" t="s">
        <v>97</v>
      </c>
      <c r="D18" t="b">
        <v>1</v>
      </c>
      <c r="E18" t="s">
        <v>98</v>
      </c>
      <c r="F18">
        <v>2</v>
      </c>
      <c r="G18" t="s">
        <v>99</v>
      </c>
      <c r="H18" t="s">
        <v>100</v>
      </c>
      <c r="I18">
        <v>288.28399658203102</v>
      </c>
      <c r="J18">
        <v>3.3799994715285</v>
      </c>
      <c r="K18">
        <v>245.1</v>
      </c>
      <c r="L18" t="s">
        <v>34</v>
      </c>
      <c r="M18">
        <v>0.99974887443673899</v>
      </c>
      <c r="N18">
        <v>2.5112556326146199E-4</v>
      </c>
      <c r="O18">
        <v>0</v>
      </c>
      <c r="P18">
        <v>59.02</v>
      </c>
      <c r="Q18">
        <v>0.32800000000000001</v>
      </c>
      <c r="R18">
        <v>-2054.9381814349699</v>
      </c>
      <c r="S18" t="s">
        <v>234</v>
      </c>
      <c r="T18" t="s">
        <v>27</v>
      </c>
      <c r="U18">
        <v>2.5552326668372598</v>
      </c>
      <c r="V18">
        <v>2.29580601947908E-2</v>
      </c>
      <c r="W18">
        <v>0.195291985452797</v>
      </c>
      <c r="X18">
        <v>5.3153590431077799E-2</v>
      </c>
      <c r="Y18">
        <v>1.91606432197114</v>
      </c>
      <c r="Z18">
        <v>6.6755449991725599E-2</v>
      </c>
      <c r="AA18">
        <v>0.70130702217423802</v>
      </c>
      <c r="AB18">
        <v>4.3377652416384797E-2</v>
      </c>
      <c r="AC18">
        <v>5.85574389210562E-2</v>
      </c>
      <c r="AD18">
        <v>-4.7050212405403396E-3</v>
      </c>
    </row>
    <row r="19" spans="1:30" x14ac:dyDescent="0.25">
      <c r="A19" t="s">
        <v>101</v>
      </c>
      <c r="B19" t="s">
        <v>102</v>
      </c>
      <c r="C19" s="1" t="s">
        <v>103</v>
      </c>
      <c r="D19" t="b">
        <v>1</v>
      </c>
      <c r="E19" t="s">
        <v>104</v>
      </c>
      <c r="F19">
        <v>3</v>
      </c>
      <c r="G19">
        <v>18</v>
      </c>
      <c r="H19" t="s">
        <v>45</v>
      </c>
      <c r="I19">
        <v>296.14999389648398</v>
      </c>
      <c r="J19">
        <v>4.51</v>
      </c>
      <c r="K19">
        <v>2.37</v>
      </c>
      <c r="L19" t="s">
        <v>26</v>
      </c>
      <c r="M19">
        <v>2.15735217509458E-4</v>
      </c>
      <c r="N19">
        <v>0</v>
      </c>
      <c r="O19">
        <v>0.99978426478249005</v>
      </c>
      <c r="P19">
        <v>36.86</v>
      </c>
      <c r="Q19">
        <v>5.0000000000000001E-3</v>
      </c>
      <c r="R19">
        <v>-301.29900638528301</v>
      </c>
      <c r="S19">
        <v>-461.74632725641902</v>
      </c>
      <c r="T19" t="s">
        <v>35</v>
      </c>
      <c r="U19" t="s">
        <v>45</v>
      </c>
      <c r="V19" t="s">
        <v>45</v>
      </c>
      <c r="W19">
        <v>9.6251709509419206E-2</v>
      </c>
      <c r="X19">
        <v>-0.14735893476709699</v>
      </c>
      <c r="Y19">
        <v>418.29896711674598</v>
      </c>
      <c r="Z19" t="s">
        <v>45</v>
      </c>
      <c r="AA19" t="s">
        <v>45</v>
      </c>
      <c r="AB19" t="s">
        <v>45</v>
      </c>
      <c r="AC19" t="s">
        <v>45</v>
      </c>
      <c r="AD19" t="s">
        <v>45</v>
      </c>
    </row>
    <row r="20" spans="1:30" x14ac:dyDescent="0.25">
      <c r="A20" t="s">
        <v>105</v>
      </c>
      <c r="B20" t="s">
        <v>106</v>
      </c>
      <c r="C20" s="1" t="s">
        <v>107</v>
      </c>
      <c r="D20" t="b">
        <v>1</v>
      </c>
      <c r="E20" t="s">
        <v>108</v>
      </c>
      <c r="F20">
        <v>3</v>
      </c>
      <c r="G20">
        <v>20</v>
      </c>
      <c r="H20">
        <v>20</v>
      </c>
      <c r="I20">
        <v>414.52</v>
      </c>
      <c r="J20">
        <v>2.7299985472834201</v>
      </c>
      <c r="K20">
        <v>465</v>
      </c>
      <c r="L20" t="s">
        <v>53</v>
      </c>
      <c r="M20">
        <v>0.14233661119822499</v>
      </c>
      <c r="N20">
        <v>0.85766289526829198</v>
      </c>
      <c r="O20" s="4">
        <v>4.9353348270959204E-7</v>
      </c>
      <c r="P20">
        <v>4.7</v>
      </c>
      <c r="Q20">
        <v>0.18</v>
      </c>
      <c r="R20">
        <v>-541.32044450406795</v>
      </c>
      <c r="S20">
        <v>-710.22933368005204</v>
      </c>
      <c r="T20" t="s">
        <v>35</v>
      </c>
      <c r="U20">
        <v>4.3080425912209899</v>
      </c>
      <c r="V20" t="s">
        <v>45</v>
      </c>
      <c r="W20">
        <v>0.32377938612167001</v>
      </c>
      <c r="X20">
        <v>-0.31144129088004202</v>
      </c>
      <c r="Y20">
        <v>100.874018783685</v>
      </c>
      <c r="Z20">
        <v>25.738227602919</v>
      </c>
      <c r="AA20">
        <v>0.17086219433858801</v>
      </c>
      <c r="AB20">
        <v>3.9340527538962798E-2</v>
      </c>
      <c r="AC20">
        <v>5.1039399288866699E-3</v>
      </c>
      <c r="AD20" t="s">
        <v>45</v>
      </c>
    </row>
    <row r="21" spans="1:30" x14ac:dyDescent="0.25">
      <c r="A21" t="s">
        <v>109</v>
      </c>
      <c r="B21" t="s">
        <v>110</v>
      </c>
      <c r="C21" s="1" t="s">
        <v>111</v>
      </c>
      <c r="D21" t="b">
        <v>1</v>
      </c>
      <c r="E21" t="s">
        <v>112</v>
      </c>
      <c r="F21">
        <v>1</v>
      </c>
      <c r="G21">
        <v>5</v>
      </c>
      <c r="H21">
        <v>1</v>
      </c>
      <c r="I21">
        <v>275.79000854492199</v>
      </c>
      <c r="J21">
        <v>2.9199980309640199</v>
      </c>
      <c r="K21">
        <v>1200</v>
      </c>
      <c r="L21" t="s">
        <v>34</v>
      </c>
      <c r="M21">
        <v>1</v>
      </c>
      <c r="N21">
        <v>0</v>
      </c>
      <c r="O21">
        <v>0</v>
      </c>
      <c r="P21">
        <v>101.82</v>
      </c>
      <c r="Q21">
        <v>0.53716299999999995</v>
      </c>
      <c r="R21">
        <v>1226.85012564471</v>
      </c>
      <c r="S21" t="s">
        <v>234</v>
      </c>
      <c r="T21" t="s">
        <v>27</v>
      </c>
      <c r="U21">
        <v>299.21728445532699</v>
      </c>
      <c r="V21">
        <v>6.3793195404531003E-2</v>
      </c>
      <c r="W21">
        <v>4.6056987184955503E-2</v>
      </c>
      <c r="X21">
        <v>4.8450285945402898E-2</v>
      </c>
      <c r="Y21">
        <v>102.33831673116499</v>
      </c>
      <c r="Z21">
        <v>7081.0534560454498</v>
      </c>
      <c r="AA21">
        <v>5.58125660683087E-2</v>
      </c>
      <c r="AB21">
        <v>3.18925101350642</v>
      </c>
      <c r="AC21">
        <v>1.68747965786521E-4</v>
      </c>
      <c r="AD21">
        <v>-3.24027746620079E-3</v>
      </c>
    </row>
    <row r="22" spans="1:30" x14ac:dyDescent="0.25">
      <c r="A22" t="s">
        <v>113</v>
      </c>
      <c r="B22" t="s">
        <v>114</v>
      </c>
      <c r="C22" s="1" t="s">
        <v>115</v>
      </c>
      <c r="D22" t="b">
        <v>1</v>
      </c>
      <c r="E22" t="s">
        <v>116</v>
      </c>
      <c r="F22">
        <v>1</v>
      </c>
      <c r="G22">
        <v>2</v>
      </c>
      <c r="H22">
        <v>0.4</v>
      </c>
      <c r="I22">
        <v>359.4169921875</v>
      </c>
      <c r="J22">
        <v>5.6199999963846103</v>
      </c>
      <c r="K22">
        <v>7.5399999999999995E-2</v>
      </c>
      <c r="L22" t="s">
        <v>34</v>
      </c>
      <c r="M22">
        <v>0.999999781223886</v>
      </c>
      <c r="N22" s="4">
        <v>2.18776114531956E-7</v>
      </c>
      <c r="O22">
        <v>0</v>
      </c>
      <c r="P22">
        <v>42.28</v>
      </c>
      <c r="Q22">
        <v>6.0299999999999998E-3</v>
      </c>
      <c r="R22">
        <v>-3950.4098089781501</v>
      </c>
      <c r="S22">
        <v>-10102.502763519</v>
      </c>
      <c r="T22" t="s">
        <v>35</v>
      </c>
      <c r="U22">
        <v>27.642980254403501</v>
      </c>
      <c r="V22" t="s">
        <v>45</v>
      </c>
      <c r="W22">
        <v>5.8841636865927298E-2</v>
      </c>
      <c r="X22">
        <v>-0.90306529239525402</v>
      </c>
      <c r="Y22">
        <v>1.5204872513604499</v>
      </c>
      <c r="Z22">
        <v>1.6968539119544299E-2</v>
      </c>
      <c r="AA22">
        <v>0.99925731176580201</v>
      </c>
      <c r="AB22">
        <v>3.6474562361671403E-2</v>
      </c>
      <c r="AC22">
        <v>2.55974370726097E-2</v>
      </c>
      <c r="AD22" t="s">
        <v>45</v>
      </c>
    </row>
    <row r="23" spans="1:30" x14ac:dyDescent="0.25">
      <c r="A23" t="s">
        <v>117</v>
      </c>
      <c r="B23" t="s">
        <v>118</v>
      </c>
      <c r="C23" s="1" t="s">
        <v>119</v>
      </c>
      <c r="D23" t="b">
        <v>1</v>
      </c>
      <c r="E23" t="s">
        <v>120</v>
      </c>
      <c r="F23">
        <v>1</v>
      </c>
      <c r="G23">
        <v>2</v>
      </c>
      <c r="H23">
        <v>0.4</v>
      </c>
      <c r="I23">
        <v>331.20001220703102</v>
      </c>
      <c r="J23">
        <v>3.9200001195156999</v>
      </c>
      <c r="K23">
        <v>14</v>
      </c>
      <c r="L23" t="s">
        <v>34</v>
      </c>
      <c r="M23">
        <v>0.99998094297597795</v>
      </c>
      <c r="N23" s="4">
        <v>4.3650751354746499E-7</v>
      </c>
      <c r="O23" s="4">
        <v>1.8620516508235699E-5</v>
      </c>
      <c r="P23">
        <v>1.57</v>
      </c>
      <c r="Q23">
        <v>2.7598000000000001E-2</v>
      </c>
      <c r="R23">
        <v>-222.45692315618399</v>
      </c>
      <c r="S23">
        <v>-276.34525154171399</v>
      </c>
      <c r="T23" t="s">
        <v>35</v>
      </c>
      <c r="U23">
        <v>6.4547231393851003</v>
      </c>
      <c r="V23" t="s">
        <v>45</v>
      </c>
      <c r="W23">
        <v>0.26672873732955799</v>
      </c>
      <c r="X23">
        <v>-0.95823966976793695</v>
      </c>
      <c r="Y23">
        <v>2.1918360650894102</v>
      </c>
      <c r="Z23">
        <v>0.175766220297562</v>
      </c>
      <c r="AA23">
        <v>0.254802681488219</v>
      </c>
      <c r="AB23">
        <v>9.3942170855780993E-2</v>
      </c>
      <c r="AC23">
        <v>6.1665935511133899E-3</v>
      </c>
      <c r="AD23" t="s">
        <v>45</v>
      </c>
    </row>
    <row r="24" spans="1:30" x14ac:dyDescent="0.25">
      <c r="A24" t="s">
        <v>121</v>
      </c>
      <c r="B24" t="s">
        <v>122</v>
      </c>
      <c r="C24" s="1" t="s">
        <v>123</v>
      </c>
      <c r="D24" t="b">
        <v>1</v>
      </c>
      <c r="E24" t="s">
        <v>124</v>
      </c>
      <c r="F24">
        <v>2</v>
      </c>
      <c r="G24" t="s">
        <v>125</v>
      </c>
      <c r="H24" t="s">
        <v>126</v>
      </c>
      <c r="I24">
        <v>363.32998657226602</v>
      </c>
      <c r="J24">
        <v>3.2200008092866601</v>
      </c>
      <c r="K24">
        <v>56</v>
      </c>
      <c r="L24" t="s">
        <v>34</v>
      </c>
      <c r="M24">
        <v>0.99999339310917101</v>
      </c>
      <c r="N24">
        <v>0</v>
      </c>
      <c r="O24" s="4">
        <v>6.6068908287811401E-6</v>
      </c>
      <c r="P24">
        <v>40.92</v>
      </c>
      <c r="Q24">
        <v>0.20072899999999999</v>
      </c>
      <c r="R24">
        <v>362.20406867662001</v>
      </c>
      <c r="S24">
        <v>1.99319759362274</v>
      </c>
      <c r="T24" t="s">
        <v>35</v>
      </c>
      <c r="U24">
        <v>24.304997481264</v>
      </c>
      <c r="V24" t="s">
        <v>45</v>
      </c>
      <c r="W24">
        <v>0.130860169963951</v>
      </c>
      <c r="X24" t="s">
        <v>45</v>
      </c>
      <c r="Y24">
        <v>29.1277837845665</v>
      </c>
      <c r="Z24" t="s">
        <v>45</v>
      </c>
      <c r="AA24">
        <v>6.2885024185312693E-2</v>
      </c>
      <c r="AB24">
        <v>0.10235115227262299</v>
      </c>
      <c r="AC24">
        <v>8.2382113616066897E-4</v>
      </c>
      <c r="AD24" t="s">
        <v>45</v>
      </c>
    </row>
    <row r="25" spans="1:30" x14ac:dyDescent="0.25">
      <c r="A25" t="s">
        <v>131</v>
      </c>
      <c r="B25" t="s">
        <v>132</v>
      </c>
      <c r="C25" s="1" t="s">
        <v>133</v>
      </c>
      <c r="D25" t="b">
        <v>1</v>
      </c>
      <c r="E25" t="s">
        <v>134</v>
      </c>
      <c r="F25">
        <v>3</v>
      </c>
      <c r="G25" t="s">
        <v>45</v>
      </c>
      <c r="H25">
        <v>60</v>
      </c>
      <c r="I25">
        <v>236.27099609375</v>
      </c>
      <c r="J25">
        <v>0.87</v>
      </c>
      <c r="K25">
        <v>435</v>
      </c>
      <c r="L25" t="s">
        <v>34</v>
      </c>
      <c r="M25">
        <v>0.833662469183438</v>
      </c>
      <c r="N25">
        <v>0</v>
      </c>
      <c r="O25">
        <v>0.166337530816562</v>
      </c>
      <c r="P25">
        <v>19.8</v>
      </c>
      <c r="Q25">
        <v>0.7</v>
      </c>
      <c r="R25">
        <v>-8.0268824193126793</v>
      </c>
      <c r="S25">
        <v>-9.7338230167603292</v>
      </c>
      <c r="T25" t="s">
        <v>35</v>
      </c>
      <c r="U25">
        <v>0.47172877039258798</v>
      </c>
      <c r="V25" t="s">
        <v>45</v>
      </c>
      <c r="W25">
        <v>1.89164744987441</v>
      </c>
      <c r="X25">
        <v>12.208796502134099</v>
      </c>
      <c r="Y25" t="s">
        <v>45</v>
      </c>
      <c r="Z25" t="s">
        <v>45</v>
      </c>
      <c r="AA25" t="s">
        <v>45</v>
      </c>
      <c r="AB25" t="s">
        <v>45</v>
      </c>
      <c r="AC25" t="s">
        <v>45</v>
      </c>
      <c r="AD25" t="s">
        <v>45</v>
      </c>
    </row>
    <row r="26" spans="1:30" x14ac:dyDescent="0.25">
      <c r="A26" t="s">
        <v>135</v>
      </c>
      <c r="B26" t="s">
        <v>136</v>
      </c>
      <c r="C26" s="1" t="s">
        <v>137</v>
      </c>
      <c r="D26" t="b">
        <v>1</v>
      </c>
      <c r="E26" t="s">
        <v>138</v>
      </c>
      <c r="F26">
        <v>3</v>
      </c>
      <c r="G26" t="s">
        <v>45</v>
      </c>
      <c r="H26" t="s">
        <v>139</v>
      </c>
      <c r="I26">
        <v>206.28500366210901</v>
      </c>
      <c r="J26">
        <v>3.84000001825554</v>
      </c>
      <c r="K26">
        <v>21</v>
      </c>
      <c r="L26" t="s">
        <v>26</v>
      </c>
      <c r="M26">
        <v>3.1523091832602098E-3</v>
      </c>
      <c r="N26">
        <v>0</v>
      </c>
      <c r="O26">
        <v>0.99684769081673996</v>
      </c>
      <c r="P26">
        <v>4.2</v>
      </c>
      <c r="Q26">
        <v>0.01</v>
      </c>
      <c r="R26">
        <v>-851.508836969914</v>
      </c>
      <c r="S26">
        <v>-1139.1596622204599</v>
      </c>
      <c r="T26" t="s">
        <v>35</v>
      </c>
      <c r="U26">
        <v>0.45078376650485502</v>
      </c>
      <c r="V26" t="s">
        <v>45</v>
      </c>
      <c r="W26">
        <v>0.26687920961536099</v>
      </c>
      <c r="X26">
        <v>-2.02083745297878</v>
      </c>
      <c r="Y26" t="s">
        <v>45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</row>
    <row r="27" spans="1:30" x14ac:dyDescent="0.25">
      <c r="A27" t="s">
        <v>140</v>
      </c>
      <c r="B27" t="s">
        <v>141</v>
      </c>
      <c r="C27" s="1" t="s">
        <v>142</v>
      </c>
      <c r="D27" t="b">
        <v>1</v>
      </c>
      <c r="E27" t="s">
        <v>143</v>
      </c>
      <c r="F27">
        <v>1</v>
      </c>
      <c r="G27">
        <v>5</v>
      </c>
      <c r="H27">
        <v>1</v>
      </c>
      <c r="I27">
        <v>297.17999267578102</v>
      </c>
      <c r="J27">
        <v>3.76000004729273</v>
      </c>
      <c r="K27">
        <v>180</v>
      </c>
      <c r="L27" t="s">
        <v>34</v>
      </c>
      <c r="M27">
        <v>0.810095158604757</v>
      </c>
      <c r="N27">
        <v>0.189904841395243</v>
      </c>
      <c r="O27">
        <v>0</v>
      </c>
      <c r="P27">
        <v>46.44</v>
      </c>
      <c r="Q27">
        <v>4.8292000000000002E-2</v>
      </c>
      <c r="R27">
        <v>228.95822965192099</v>
      </c>
      <c r="S27">
        <v>229.38969696638799</v>
      </c>
      <c r="T27" t="s">
        <v>27</v>
      </c>
      <c r="U27">
        <v>15.960863537924199</v>
      </c>
      <c r="V27">
        <v>9.1099176730048595E-2</v>
      </c>
      <c r="W27">
        <v>0.79373465239362995</v>
      </c>
      <c r="X27">
        <v>5.3953619970875201E-2</v>
      </c>
      <c r="Y27">
        <v>5.1871738387643802</v>
      </c>
      <c r="Z27">
        <v>0.43781920251939499</v>
      </c>
      <c r="AA27">
        <v>2.9565672104083199E-3</v>
      </c>
      <c r="AB27">
        <v>0.109820502939021</v>
      </c>
      <c r="AC27" s="4">
        <v>9.7239963912794308E-6</v>
      </c>
      <c r="AD27">
        <v>-0.64203782876012905</v>
      </c>
    </row>
    <row r="28" spans="1:30" x14ac:dyDescent="0.25">
      <c r="A28" t="s">
        <v>144</v>
      </c>
      <c r="B28" t="s">
        <v>145</v>
      </c>
      <c r="C28" s="1" t="s">
        <v>146</v>
      </c>
      <c r="D28" t="b">
        <v>1</v>
      </c>
      <c r="E28" t="s">
        <v>147</v>
      </c>
      <c r="F28">
        <v>1</v>
      </c>
      <c r="G28">
        <v>5</v>
      </c>
      <c r="H28">
        <v>5</v>
      </c>
      <c r="I28">
        <v>255.66000366210901</v>
      </c>
      <c r="J28">
        <v>1.10002573010786</v>
      </c>
      <c r="K28">
        <v>610</v>
      </c>
      <c r="L28" t="s">
        <v>34</v>
      </c>
      <c r="M28">
        <v>0.98249324209333</v>
      </c>
      <c r="N28">
        <v>7.4529734106971897E-3</v>
      </c>
      <c r="O28">
        <v>1.0053784495973E-2</v>
      </c>
      <c r="P28">
        <v>0</v>
      </c>
      <c r="Q28">
        <v>0.83929500000000001</v>
      </c>
      <c r="R28">
        <v>-6783.6300573278104</v>
      </c>
      <c r="S28">
        <v>-5448.83627639512</v>
      </c>
      <c r="T28" t="s">
        <v>27</v>
      </c>
      <c r="U28">
        <v>4.6626489488812304</v>
      </c>
      <c r="V28" t="s">
        <v>45</v>
      </c>
      <c r="W28">
        <v>8.3841346214235904E-2</v>
      </c>
      <c r="X28">
        <v>5.5961277715466801E-3</v>
      </c>
      <c r="Y28">
        <v>1.8039210877979699</v>
      </c>
      <c r="Z28">
        <v>4.4749123351978302E-2</v>
      </c>
      <c r="AA28">
        <v>0.99942843819511795</v>
      </c>
      <c r="AB28" t="s">
        <v>45</v>
      </c>
      <c r="AC28">
        <v>0.10652449880456</v>
      </c>
      <c r="AD28" t="s">
        <v>45</v>
      </c>
    </row>
    <row r="29" spans="1:30" x14ac:dyDescent="0.25">
      <c r="A29" t="s">
        <v>148</v>
      </c>
      <c r="B29" t="s">
        <v>149</v>
      </c>
      <c r="C29" s="1" t="s">
        <v>150</v>
      </c>
      <c r="D29" t="b">
        <v>1</v>
      </c>
      <c r="E29" t="s">
        <v>151</v>
      </c>
      <c r="F29">
        <v>3</v>
      </c>
      <c r="G29">
        <v>50</v>
      </c>
      <c r="H29">
        <v>10</v>
      </c>
      <c r="I29">
        <v>280.41500000000002</v>
      </c>
      <c r="J29">
        <v>4.8</v>
      </c>
      <c r="K29">
        <v>18.2</v>
      </c>
      <c r="L29" t="s">
        <v>53</v>
      </c>
      <c r="M29">
        <v>7.88068385033029E-3</v>
      </c>
      <c r="N29">
        <v>0.99211931614966997</v>
      </c>
      <c r="O29">
        <v>0</v>
      </c>
      <c r="P29">
        <v>1.78</v>
      </c>
      <c r="Q29">
        <v>0.24</v>
      </c>
      <c r="R29">
        <v>-89.040145929747695</v>
      </c>
      <c r="S29">
        <v>-240.398100431665</v>
      </c>
      <c r="T29" t="s">
        <v>35</v>
      </c>
      <c r="U29">
        <v>68.527761689279501</v>
      </c>
      <c r="V29" t="s">
        <v>45</v>
      </c>
      <c r="W29">
        <v>2.2331893583249999E-2</v>
      </c>
      <c r="X29" t="s">
        <v>45</v>
      </c>
      <c r="Y29">
        <v>1.35608424081755</v>
      </c>
      <c r="Z29" t="s">
        <v>45</v>
      </c>
      <c r="AA29">
        <v>0.25920472856514898</v>
      </c>
      <c r="AB29">
        <v>6.1676005407919898E-2</v>
      </c>
      <c r="AC29">
        <v>7.0573162900095E-3</v>
      </c>
      <c r="AD29" t="s">
        <v>45</v>
      </c>
    </row>
    <row r="30" spans="1:30" x14ac:dyDescent="0.25">
      <c r="A30" t="s">
        <v>152</v>
      </c>
      <c r="B30" t="s">
        <v>153</v>
      </c>
      <c r="C30" s="1" t="s">
        <v>154</v>
      </c>
      <c r="D30" t="b">
        <v>1</v>
      </c>
      <c r="E30" t="s">
        <v>155</v>
      </c>
      <c r="F30">
        <v>3</v>
      </c>
      <c r="G30">
        <v>15</v>
      </c>
      <c r="H30" t="s">
        <v>45</v>
      </c>
      <c r="I30">
        <v>267.36898803710898</v>
      </c>
      <c r="J30">
        <v>1.7599698575543099</v>
      </c>
      <c r="K30">
        <v>16900</v>
      </c>
      <c r="L30" t="s">
        <v>53</v>
      </c>
      <c r="M30">
        <v>5.3416316971866603E-3</v>
      </c>
      <c r="N30">
        <v>0.99465836721219203</v>
      </c>
      <c r="O30" s="4">
        <v>1.09062121225955E-9</v>
      </c>
      <c r="P30">
        <v>1.47</v>
      </c>
      <c r="Q30">
        <v>0.94</v>
      </c>
      <c r="R30">
        <v>-1296.01084419525</v>
      </c>
      <c r="S30">
        <v>-1760.10098813883</v>
      </c>
      <c r="T30" t="s">
        <v>35</v>
      </c>
      <c r="U30" t="s">
        <v>45</v>
      </c>
      <c r="V30" t="s">
        <v>45</v>
      </c>
      <c r="W30">
        <v>1.2136845323257199</v>
      </c>
      <c r="X30">
        <v>1.0833192241568399E-2</v>
      </c>
      <c r="Y30">
        <v>999.99999999993804</v>
      </c>
      <c r="Z30">
        <v>12813.372059884499</v>
      </c>
      <c r="AA30" t="s">
        <v>45</v>
      </c>
      <c r="AB30" t="s">
        <v>45</v>
      </c>
      <c r="AC30" t="s">
        <v>45</v>
      </c>
      <c r="AD30" t="s">
        <v>45</v>
      </c>
    </row>
    <row r="31" spans="1:30" x14ac:dyDescent="0.25">
      <c r="A31" t="s">
        <v>156</v>
      </c>
      <c r="B31" t="s">
        <v>157</v>
      </c>
      <c r="C31" s="1" t="s">
        <v>158</v>
      </c>
      <c r="D31" t="b">
        <v>1</v>
      </c>
      <c r="E31" t="s">
        <v>159</v>
      </c>
      <c r="F31">
        <v>3</v>
      </c>
      <c r="G31">
        <v>15</v>
      </c>
      <c r="H31">
        <v>5</v>
      </c>
      <c r="I31">
        <v>325.76998901367199</v>
      </c>
      <c r="J31">
        <v>2.7</v>
      </c>
      <c r="K31">
        <v>0.1343</v>
      </c>
      <c r="L31" t="s">
        <v>34</v>
      </c>
      <c r="M31">
        <v>0.975496632449664</v>
      </c>
      <c r="N31">
        <v>2.4503367550336001E-2</v>
      </c>
      <c r="O31">
        <v>0</v>
      </c>
      <c r="P31">
        <v>7</v>
      </c>
      <c r="Q31">
        <v>7.0000000000000007E-2</v>
      </c>
      <c r="R31">
        <v>-694.73844154450603</v>
      </c>
      <c r="S31" t="s">
        <v>234</v>
      </c>
      <c r="T31" t="s">
        <v>27</v>
      </c>
      <c r="U31">
        <v>2.9211882320072098</v>
      </c>
      <c r="V31">
        <v>3.9666915083994697E-2</v>
      </c>
      <c r="W31">
        <v>1.74579113748939</v>
      </c>
      <c r="X31">
        <v>1.1913668744023401E-2</v>
      </c>
      <c r="Y31">
        <v>0.77957387797359101</v>
      </c>
      <c r="Z31">
        <v>3.6171639333051599E-2</v>
      </c>
      <c r="AA31">
        <v>0.110514023726288</v>
      </c>
      <c r="AB31">
        <v>4.3254438366088499E-2</v>
      </c>
      <c r="AC31">
        <v>9.0293049927485901E-4</v>
      </c>
      <c r="AD31">
        <v>-1.2802630853450601E-2</v>
      </c>
    </row>
    <row r="32" spans="1:30" x14ac:dyDescent="0.25">
      <c r="A32" t="s">
        <v>160</v>
      </c>
      <c r="B32" t="s">
        <v>161</v>
      </c>
      <c r="C32" s="1" t="s">
        <v>162</v>
      </c>
      <c r="D32" t="b">
        <v>1</v>
      </c>
      <c r="E32" t="s">
        <v>163</v>
      </c>
      <c r="F32">
        <v>3</v>
      </c>
      <c r="G32">
        <v>10</v>
      </c>
      <c r="H32">
        <v>0.1</v>
      </c>
      <c r="I32">
        <v>385.37600708007801</v>
      </c>
      <c r="J32">
        <v>2.23999979288687</v>
      </c>
      <c r="K32">
        <v>6.9219999999999997</v>
      </c>
      <c r="L32" t="s">
        <v>34</v>
      </c>
      <c r="M32">
        <v>1</v>
      </c>
      <c r="N32">
        <v>0</v>
      </c>
      <c r="O32">
        <v>0</v>
      </c>
      <c r="P32">
        <v>2160</v>
      </c>
      <c r="Q32">
        <v>1.2999999999999999E-2</v>
      </c>
      <c r="R32">
        <v>-453.048265880548</v>
      </c>
      <c r="S32">
        <v>-925.70308866044195</v>
      </c>
      <c r="T32" t="s">
        <v>35</v>
      </c>
      <c r="U32">
        <v>12.025271764687</v>
      </c>
      <c r="V32" t="s">
        <v>45</v>
      </c>
      <c r="W32">
        <v>0.24031630732982201</v>
      </c>
      <c r="X32">
        <v>-0.28910790860830898</v>
      </c>
      <c r="Y32">
        <v>4.967888764874</v>
      </c>
      <c r="Z32">
        <v>0.103218110439232</v>
      </c>
      <c r="AA32">
        <v>0.150210521371274</v>
      </c>
      <c r="AB32">
        <v>7.6438155140765393E-2</v>
      </c>
      <c r="AC32">
        <v>2.16576319870389E-3</v>
      </c>
      <c r="AD32" t="s">
        <v>45</v>
      </c>
    </row>
    <row r="33" spans="1:30" x14ac:dyDescent="0.25">
      <c r="A33" t="s">
        <v>164</v>
      </c>
      <c r="B33" t="s">
        <v>165</v>
      </c>
      <c r="C33" s="1" t="s">
        <v>166</v>
      </c>
      <c r="D33" t="b">
        <v>1</v>
      </c>
      <c r="E33" t="s">
        <v>167</v>
      </c>
      <c r="F33">
        <v>1</v>
      </c>
      <c r="G33">
        <v>2</v>
      </c>
      <c r="H33">
        <v>0.4</v>
      </c>
      <c r="I33">
        <v>492.70999145507801</v>
      </c>
      <c r="J33">
        <v>6.2400000003125404</v>
      </c>
      <c r="K33">
        <v>5.3100000000000001E-2</v>
      </c>
      <c r="L33" t="s">
        <v>26</v>
      </c>
      <c r="M33">
        <v>7.3587534057414902E-2</v>
      </c>
      <c r="N33">
        <v>0</v>
      </c>
      <c r="O33">
        <v>0.92641246594258497</v>
      </c>
      <c r="P33">
        <v>0</v>
      </c>
      <c r="Q33">
        <v>1.3958999999999999E-2</v>
      </c>
      <c r="R33">
        <v>-11415.0674112384</v>
      </c>
      <c r="S33">
        <v>-13634.431772964601</v>
      </c>
      <c r="T33" t="s">
        <v>35</v>
      </c>
      <c r="U33">
        <v>49.3051899234639</v>
      </c>
      <c r="V33" t="s">
        <v>45</v>
      </c>
      <c r="W33">
        <v>1.8427291255736799E-3</v>
      </c>
      <c r="X33">
        <v>-0.64074825308333705</v>
      </c>
      <c r="Y33">
        <v>0.23749197996254401</v>
      </c>
      <c r="Z33">
        <v>1.6115023461552899E-2</v>
      </c>
      <c r="AA33">
        <v>0.99997291370383501</v>
      </c>
      <c r="AB33">
        <v>2.6366382963928701E-2</v>
      </c>
      <c r="AC33">
        <v>0.45858818183949002</v>
      </c>
      <c r="AD33" t="s">
        <v>45</v>
      </c>
    </row>
    <row r="34" spans="1:30" x14ac:dyDescent="0.25">
      <c r="A34" t="s">
        <v>168</v>
      </c>
      <c r="B34" t="s">
        <v>169</v>
      </c>
      <c r="C34" s="1" t="s">
        <v>170</v>
      </c>
      <c r="D34" t="b">
        <v>1</v>
      </c>
      <c r="E34" t="s">
        <v>171</v>
      </c>
      <c r="F34">
        <v>3</v>
      </c>
      <c r="G34" t="s">
        <v>172</v>
      </c>
      <c r="H34" t="s">
        <v>173</v>
      </c>
      <c r="I34">
        <v>293.36999511718801</v>
      </c>
      <c r="J34">
        <v>2.34999589926286</v>
      </c>
      <c r="K34">
        <v>5.7140000000000004</v>
      </c>
      <c r="L34" t="s">
        <v>34</v>
      </c>
      <c r="M34">
        <v>0.53448394472683203</v>
      </c>
      <c r="N34">
        <v>0.46551605527316797</v>
      </c>
      <c r="O34">
        <v>0</v>
      </c>
      <c r="P34">
        <v>1.4</v>
      </c>
      <c r="Q34">
        <v>0.25</v>
      </c>
      <c r="R34">
        <v>-8336.1675886307203</v>
      </c>
      <c r="S34">
        <v>-15615.441619253599</v>
      </c>
      <c r="T34" t="s">
        <v>35</v>
      </c>
      <c r="U34">
        <v>0.14326174333223499</v>
      </c>
      <c r="V34" t="s">
        <v>45</v>
      </c>
      <c r="W34">
        <v>1.55383136661784</v>
      </c>
      <c r="X34">
        <v>1.50235174472829E-2</v>
      </c>
      <c r="Y34">
        <v>351.99928307703198</v>
      </c>
      <c r="Z34" t="s">
        <v>45</v>
      </c>
      <c r="AA34">
        <v>9.8339846026363101E-2</v>
      </c>
      <c r="AB34">
        <v>1.2834949395433899E-2</v>
      </c>
      <c r="AC34">
        <v>1.8407048913909301E-2</v>
      </c>
      <c r="AD34" t="s">
        <v>45</v>
      </c>
    </row>
    <row r="35" spans="1:30" x14ac:dyDescent="0.25">
      <c r="A35" t="s">
        <v>174</v>
      </c>
      <c r="B35" t="s">
        <v>175</v>
      </c>
      <c r="C35" s="1" t="s">
        <v>176</v>
      </c>
      <c r="D35" t="b">
        <v>1</v>
      </c>
      <c r="E35" t="s">
        <v>177</v>
      </c>
      <c r="F35">
        <v>1</v>
      </c>
      <c r="G35">
        <v>1</v>
      </c>
      <c r="H35">
        <v>0.2</v>
      </c>
      <c r="I35">
        <v>414.07</v>
      </c>
      <c r="J35">
        <v>5.1100000162852002</v>
      </c>
      <c r="K35">
        <v>0.48130000000000001</v>
      </c>
      <c r="L35" t="s">
        <v>26</v>
      </c>
      <c r="M35" s="4">
        <v>2.5118864315032601E-12</v>
      </c>
      <c r="N35">
        <v>0</v>
      </c>
      <c r="O35">
        <v>0.99999999999748801</v>
      </c>
      <c r="P35">
        <v>0</v>
      </c>
      <c r="Q35">
        <v>2.9290000000000002E-3</v>
      </c>
      <c r="R35">
        <v>-26570.7357519537</v>
      </c>
      <c r="S35">
        <v>-28149.7192075356</v>
      </c>
      <c r="T35" t="s">
        <v>35</v>
      </c>
      <c r="U35">
        <v>1.3508259722957101</v>
      </c>
      <c r="V35" t="s">
        <v>45</v>
      </c>
      <c r="W35">
        <v>3.4214169581734901E-4</v>
      </c>
      <c r="X35">
        <v>-0.141516442448195</v>
      </c>
      <c r="Y35">
        <v>2.1939845398640601</v>
      </c>
      <c r="Z35">
        <v>2.0742225913534199E-2</v>
      </c>
      <c r="AA35">
        <v>0.99931024707682803</v>
      </c>
      <c r="AB35">
        <v>7.6072742866087799E-3</v>
      </c>
      <c r="AC35">
        <v>90.091474140285598</v>
      </c>
      <c r="AD35" t="s">
        <v>45</v>
      </c>
    </row>
    <row r="36" spans="1:30" x14ac:dyDescent="0.25">
      <c r="A36" t="s">
        <v>178</v>
      </c>
      <c r="B36" t="s">
        <v>179</v>
      </c>
      <c r="C36" s="1" t="s">
        <v>180</v>
      </c>
      <c r="D36" t="b">
        <v>1</v>
      </c>
      <c r="E36" t="s">
        <v>181</v>
      </c>
      <c r="F36">
        <v>1</v>
      </c>
      <c r="G36">
        <v>5</v>
      </c>
      <c r="H36">
        <v>1</v>
      </c>
      <c r="I36">
        <v>391.29000854492199</v>
      </c>
      <c r="J36">
        <v>5.6999999968568504</v>
      </c>
      <c r="K36">
        <v>6.0000000000000001E-3</v>
      </c>
      <c r="L36" t="s">
        <v>34</v>
      </c>
      <c r="M36">
        <v>1</v>
      </c>
      <c r="N36">
        <v>0</v>
      </c>
      <c r="O36">
        <v>0</v>
      </c>
      <c r="P36">
        <v>54.7</v>
      </c>
      <c r="Q36">
        <v>0</v>
      </c>
      <c r="R36">
        <v>-564.77236608591102</v>
      </c>
      <c r="S36">
        <v>-581.29938050363</v>
      </c>
      <c r="T36" t="s">
        <v>35</v>
      </c>
      <c r="U36">
        <v>432.82392681818601</v>
      </c>
      <c r="V36" t="s">
        <v>45</v>
      </c>
      <c r="W36">
        <v>3.2782518816024703E-2</v>
      </c>
      <c r="X36">
        <v>-0.22120661159323901</v>
      </c>
      <c r="Y36">
        <v>1.8046854990457299</v>
      </c>
      <c r="Z36">
        <v>6.6730092694901502E-2</v>
      </c>
      <c r="AA36">
        <v>0.99950098602747905</v>
      </c>
      <c r="AB36">
        <v>8.2090812889296302E-2</v>
      </c>
      <c r="AC36">
        <v>2.93506960624643E-3</v>
      </c>
      <c r="AD36" t="s">
        <v>45</v>
      </c>
    </row>
    <row r="37" spans="1:30" x14ac:dyDescent="0.25">
      <c r="A37" t="s">
        <v>182</v>
      </c>
      <c r="B37" t="s">
        <v>183</v>
      </c>
      <c r="C37" s="1" t="s">
        <v>184</v>
      </c>
      <c r="D37" t="b">
        <v>1</v>
      </c>
      <c r="E37" t="s">
        <v>185</v>
      </c>
      <c r="F37">
        <v>3</v>
      </c>
      <c r="G37" t="s">
        <v>45</v>
      </c>
      <c r="H37">
        <v>23</v>
      </c>
      <c r="I37">
        <v>179.218994140625</v>
      </c>
      <c r="J37">
        <v>1.40993312333129</v>
      </c>
      <c r="K37">
        <v>766</v>
      </c>
      <c r="L37" t="s">
        <v>34</v>
      </c>
      <c r="M37">
        <v>1</v>
      </c>
      <c r="N37">
        <v>0</v>
      </c>
      <c r="O37">
        <v>0</v>
      </c>
      <c r="P37">
        <v>14.72</v>
      </c>
      <c r="Q37">
        <v>0.6</v>
      </c>
      <c r="R37">
        <v>-401.39860887822903</v>
      </c>
      <c r="S37">
        <v>-473.43895595745698</v>
      </c>
      <c r="T37" t="s">
        <v>35</v>
      </c>
      <c r="U37">
        <v>0.99148052162115297</v>
      </c>
      <c r="V37" t="s">
        <v>45</v>
      </c>
      <c r="W37">
        <v>0.75997943144324098</v>
      </c>
      <c r="X37">
        <v>-0.155718261100497</v>
      </c>
      <c r="Y37" t="s">
        <v>45</v>
      </c>
      <c r="Z37" t="s">
        <v>45</v>
      </c>
      <c r="AA37" t="s">
        <v>45</v>
      </c>
      <c r="AB37" t="s">
        <v>45</v>
      </c>
      <c r="AC37" t="s">
        <v>45</v>
      </c>
      <c r="AD37" t="s">
        <v>45</v>
      </c>
    </row>
    <row r="38" spans="1:30" x14ac:dyDescent="0.25">
      <c r="A38" t="s">
        <v>186</v>
      </c>
      <c r="B38" t="s">
        <v>187</v>
      </c>
      <c r="C38" s="1" t="s">
        <v>188</v>
      </c>
      <c r="D38" t="b">
        <v>1</v>
      </c>
      <c r="E38" t="s">
        <v>189</v>
      </c>
      <c r="F38">
        <v>3</v>
      </c>
      <c r="G38">
        <v>25</v>
      </c>
      <c r="H38" t="s">
        <v>190</v>
      </c>
      <c r="I38">
        <v>252.273</v>
      </c>
      <c r="J38">
        <v>2.4700000000000002</v>
      </c>
      <c r="K38">
        <v>32</v>
      </c>
      <c r="L38" t="s">
        <v>34</v>
      </c>
      <c r="M38">
        <v>0.820495207286423</v>
      </c>
      <c r="N38">
        <v>0</v>
      </c>
      <c r="O38">
        <v>0.179504792713577</v>
      </c>
      <c r="P38">
        <v>2.33</v>
      </c>
      <c r="Q38">
        <v>0.06</v>
      </c>
      <c r="R38">
        <v>-663.15933631017799</v>
      </c>
      <c r="S38">
        <v>-792.32854472065605</v>
      </c>
      <c r="T38" t="s">
        <v>35</v>
      </c>
      <c r="U38">
        <v>13.757342842918</v>
      </c>
      <c r="V38" t="s">
        <v>45</v>
      </c>
      <c r="W38">
        <v>7.8251540766975604E-4</v>
      </c>
      <c r="X38">
        <v>-0.71666948162308697</v>
      </c>
      <c r="Y38">
        <v>1000</v>
      </c>
      <c r="Z38" t="s">
        <v>45</v>
      </c>
      <c r="AA38">
        <v>0.29617519481389099</v>
      </c>
      <c r="AB38" t="s">
        <v>45</v>
      </c>
      <c r="AC38">
        <v>1.14633085773081</v>
      </c>
      <c r="AD38" t="s">
        <v>45</v>
      </c>
    </row>
    <row r="39" spans="1:30" x14ac:dyDescent="0.25">
      <c r="A39" t="s">
        <v>191</v>
      </c>
      <c r="B39" t="s">
        <v>192</v>
      </c>
      <c r="C39" s="1" t="s">
        <v>193</v>
      </c>
      <c r="D39" t="b">
        <v>1</v>
      </c>
      <c r="E39" t="s">
        <v>194</v>
      </c>
      <c r="F39">
        <v>1</v>
      </c>
      <c r="G39">
        <v>5</v>
      </c>
      <c r="H39">
        <v>1</v>
      </c>
      <c r="I39">
        <v>224.72999572753901</v>
      </c>
      <c r="J39">
        <v>0.77011529478710194</v>
      </c>
      <c r="K39" s="4">
        <v>1000000</v>
      </c>
      <c r="L39" t="s">
        <v>34</v>
      </c>
      <c r="M39">
        <v>0.987567264745558</v>
      </c>
      <c r="N39">
        <v>0</v>
      </c>
      <c r="O39">
        <v>1.24327352544424E-2</v>
      </c>
      <c r="P39">
        <v>0</v>
      </c>
      <c r="Q39">
        <v>0.77451300000000001</v>
      </c>
      <c r="R39">
        <v>-1111.6518397386501</v>
      </c>
      <c r="S39" t="s">
        <v>234</v>
      </c>
      <c r="T39" t="s">
        <v>27</v>
      </c>
      <c r="U39">
        <v>8.5068839367551394</v>
      </c>
      <c r="V39">
        <v>3.9966946082188801E-2</v>
      </c>
      <c r="W39">
        <v>2.4465703426719601</v>
      </c>
      <c r="X39">
        <v>1.5637592614248502E-2</v>
      </c>
      <c r="Y39">
        <v>12.690627122316799</v>
      </c>
      <c r="Z39">
        <v>0.26097764519620498</v>
      </c>
      <c r="AA39">
        <v>7.8380101514476299E-3</v>
      </c>
      <c r="AB39">
        <v>5.7201522730132702E-2</v>
      </c>
      <c r="AC39" s="4">
        <v>1.5691568803593601E-5</v>
      </c>
      <c r="AD39">
        <v>-7.2348374112042799E-3</v>
      </c>
    </row>
    <row r="40" spans="1:30" x14ac:dyDescent="0.25">
      <c r="A40" t="s">
        <v>195</v>
      </c>
      <c r="B40" t="s">
        <v>196</v>
      </c>
      <c r="C40" s="1" t="s">
        <v>197</v>
      </c>
      <c r="D40" t="b">
        <v>1</v>
      </c>
      <c r="E40" t="s">
        <v>198</v>
      </c>
      <c r="F40" t="s">
        <v>50</v>
      </c>
      <c r="G40" t="s">
        <v>199</v>
      </c>
      <c r="H40" t="s">
        <v>200</v>
      </c>
      <c r="I40">
        <v>256.13000488281199</v>
      </c>
      <c r="J40">
        <v>3.1799996417791601</v>
      </c>
      <c r="K40">
        <v>15</v>
      </c>
      <c r="L40" t="s">
        <v>34</v>
      </c>
      <c r="M40">
        <v>0.99999984511836204</v>
      </c>
      <c r="N40">
        <v>0</v>
      </c>
      <c r="O40" s="4">
        <v>1.5488163790292201E-7</v>
      </c>
      <c r="P40">
        <v>1.71</v>
      </c>
      <c r="Q40">
        <v>9.3605999999999995E-2</v>
      </c>
      <c r="R40">
        <v>-909.47232284539405</v>
      </c>
      <c r="S40">
        <v>-988.83438403410105</v>
      </c>
      <c r="T40" t="s">
        <v>35</v>
      </c>
      <c r="U40">
        <v>21.237291811417201</v>
      </c>
      <c r="V40" t="s">
        <v>45</v>
      </c>
      <c r="W40">
        <v>0.19669921766971299</v>
      </c>
      <c r="X40" t="s">
        <v>45</v>
      </c>
      <c r="Y40">
        <v>1.8829850379123201</v>
      </c>
      <c r="Z40">
        <v>5.7207572406132903E-2</v>
      </c>
      <c r="AA40">
        <v>0.99974386426561102</v>
      </c>
      <c r="AB40">
        <v>3.6990406843942301E-2</v>
      </c>
      <c r="AC40">
        <v>9.9718500344916708E-3</v>
      </c>
      <c r="AD40" t="s">
        <v>45</v>
      </c>
    </row>
    <row r="41" spans="1:30" x14ac:dyDescent="0.25">
      <c r="A41" t="s">
        <v>195</v>
      </c>
      <c r="B41" t="s">
        <v>196</v>
      </c>
      <c r="C41" s="1" t="s">
        <v>197</v>
      </c>
      <c r="D41" t="b">
        <v>1</v>
      </c>
      <c r="E41" t="s">
        <v>198</v>
      </c>
      <c r="F41">
        <v>1</v>
      </c>
      <c r="G41">
        <v>3</v>
      </c>
      <c r="H41">
        <v>0.6</v>
      </c>
      <c r="I41">
        <v>256.13000488281199</v>
      </c>
      <c r="J41">
        <v>3.1799996417791601</v>
      </c>
      <c r="K41">
        <v>15</v>
      </c>
      <c r="L41" t="s">
        <v>34</v>
      </c>
      <c r="M41">
        <v>0.99999984511836204</v>
      </c>
      <c r="N41">
        <v>0</v>
      </c>
      <c r="O41" s="4">
        <v>1.5488163790292201E-7</v>
      </c>
      <c r="P41">
        <v>1.71</v>
      </c>
      <c r="Q41">
        <v>9.3605999999999995E-2</v>
      </c>
      <c r="R41">
        <v>-3281.1836679132798</v>
      </c>
      <c r="S41">
        <v>-4181.6550536323803</v>
      </c>
      <c r="T41" t="s">
        <v>35</v>
      </c>
      <c r="U41">
        <v>17.798044780153901</v>
      </c>
      <c r="V41" t="s">
        <v>45</v>
      </c>
      <c r="W41">
        <v>0.133892301668042</v>
      </c>
      <c r="X41">
        <v>-0.844786368808502</v>
      </c>
      <c r="Y41">
        <v>2.74049369219835</v>
      </c>
      <c r="Z41">
        <v>2.4576718087388E-2</v>
      </c>
      <c r="AA41">
        <v>0.99964908131012598</v>
      </c>
      <c r="AB41">
        <v>3.8426766048378198E-2</v>
      </c>
      <c r="AC41">
        <v>1.7478671776012599E-2</v>
      </c>
      <c r="AD41" t="s">
        <v>45</v>
      </c>
    </row>
    <row r="42" spans="1:30" x14ac:dyDescent="0.25">
      <c r="A42" t="s">
        <v>195</v>
      </c>
      <c r="B42" t="s">
        <v>196</v>
      </c>
      <c r="C42" s="1" t="s">
        <v>197</v>
      </c>
      <c r="D42" t="b">
        <v>1</v>
      </c>
      <c r="E42" t="s">
        <v>198</v>
      </c>
      <c r="F42">
        <v>2</v>
      </c>
      <c r="G42" t="s">
        <v>201</v>
      </c>
      <c r="H42" t="s">
        <v>200</v>
      </c>
      <c r="I42">
        <v>256.13000488281199</v>
      </c>
      <c r="J42">
        <v>3.1799996417791601</v>
      </c>
      <c r="K42">
        <v>15</v>
      </c>
      <c r="L42" t="s">
        <v>34</v>
      </c>
      <c r="M42">
        <v>0.99999984511836204</v>
      </c>
      <c r="N42">
        <v>0</v>
      </c>
      <c r="O42" s="4">
        <v>1.5488163790292201E-7</v>
      </c>
      <c r="P42">
        <v>1.71</v>
      </c>
      <c r="Q42">
        <v>9.3605999999999995E-2</v>
      </c>
      <c r="R42">
        <v>1322.0348031353101</v>
      </c>
      <c r="S42" t="s">
        <v>234</v>
      </c>
      <c r="T42" t="s">
        <v>27</v>
      </c>
      <c r="U42">
        <v>22.7725707470576</v>
      </c>
      <c r="V42">
        <v>7.4165468497069204E-2</v>
      </c>
      <c r="W42">
        <v>0.15108155101263099</v>
      </c>
      <c r="X42">
        <v>5.4694550878709003E-2</v>
      </c>
      <c r="Y42">
        <v>0.58236816873061004</v>
      </c>
      <c r="Z42">
        <v>0.115989774762807</v>
      </c>
      <c r="AA42">
        <v>0.99947703305559599</v>
      </c>
      <c r="AB42">
        <v>0.110558600878942</v>
      </c>
      <c r="AC42">
        <v>1.2104255507380901E-2</v>
      </c>
      <c r="AD42">
        <v>-6.1823946949425704E-3</v>
      </c>
    </row>
    <row r="43" spans="1:30" x14ac:dyDescent="0.25">
      <c r="A43" t="s">
        <v>202</v>
      </c>
      <c r="B43" t="s">
        <v>203</v>
      </c>
      <c r="C43" s="1" t="s">
        <v>204</v>
      </c>
      <c r="D43" t="b">
        <v>1</v>
      </c>
      <c r="E43" t="s">
        <v>205</v>
      </c>
      <c r="F43">
        <v>2</v>
      </c>
      <c r="G43">
        <v>1</v>
      </c>
      <c r="H43" t="s">
        <v>206</v>
      </c>
      <c r="I43">
        <v>348.73001098632801</v>
      </c>
      <c r="J43">
        <v>3.8899999347486101</v>
      </c>
      <c r="K43">
        <v>728000</v>
      </c>
      <c r="L43" t="s">
        <v>26</v>
      </c>
      <c r="M43" s="4">
        <v>6.4565006036717298E-6</v>
      </c>
      <c r="N43" s="4">
        <v>8.7095796657837705E-13</v>
      </c>
      <c r="O43">
        <v>0.99999354349852498</v>
      </c>
      <c r="P43">
        <v>1.95</v>
      </c>
      <c r="Q43">
        <v>9.2720000000000007E-3</v>
      </c>
      <c r="R43">
        <v>1539.4439791939801</v>
      </c>
      <c r="S43">
        <v>1359.92621267708</v>
      </c>
      <c r="T43" t="s">
        <v>35</v>
      </c>
      <c r="U43">
        <v>1.8417145252284599</v>
      </c>
      <c r="V43" t="s">
        <v>45</v>
      </c>
      <c r="W43">
        <v>0.28906430492484803</v>
      </c>
      <c r="X43" t="s">
        <v>45</v>
      </c>
      <c r="Y43">
        <v>1.9852416149358001</v>
      </c>
      <c r="Z43" t="s">
        <v>45</v>
      </c>
      <c r="AA43">
        <v>0.99948445532112395</v>
      </c>
      <c r="AB43">
        <v>0.12859193538105301</v>
      </c>
      <c r="AC43">
        <v>7.8225441483167998E-2</v>
      </c>
      <c r="AD43" t="s">
        <v>45</v>
      </c>
    </row>
    <row r="44" spans="1:30" x14ac:dyDescent="0.25">
      <c r="A44" t="s">
        <v>207</v>
      </c>
      <c r="B44" t="s">
        <v>208</v>
      </c>
      <c r="C44" s="1" t="s">
        <v>209</v>
      </c>
      <c r="D44" t="b">
        <v>1</v>
      </c>
      <c r="E44" t="s">
        <v>210</v>
      </c>
      <c r="F44">
        <v>1</v>
      </c>
      <c r="G44">
        <v>4</v>
      </c>
      <c r="H44">
        <v>0.8</v>
      </c>
      <c r="I44">
        <v>338.44699096679699</v>
      </c>
      <c r="J44">
        <v>5.0700000166563601</v>
      </c>
      <c r="K44">
        <v>0.3</v>
      </c>
      <c r="L44" t="s">
        <v>34</v>
      </c>
      <c r="M44">
        <v>1</v>
      </c>
      <c r="N44">
        <v>0</v>
      </c>
      <c r="O44">
        <v>0</v>
      </c>
      <c r="P44">
        <v>96.48</v>
      </c>
      <c r="Q44">
        <v>0</v>
      </c>
      <c r="R44">
        <v>-1823.5875001997899</v>
      </c>
      <c r="S44">
        <v>-2021.5794000929</v>
      </c>
      <c r="T44" t="s">
        <v>35</v>
      </c>
      <c r="U44">
        <v>373.94517467962299</v>
      </c>
      <c r="V44" t="s">
        <v>45</v>
      </c>
      <c r="W44">
        <v>2.4841393784504399E-2</v>
      </c>
      <c r="X44" t="s">
        <v>45</v>
      </c>
      <c r="Y44">
        <v>1.7289082478187101</v>
      </c>
      <c r="Z44">
        <v>5.0305072445160297E-2</v>
      </c>
      <c r="AA44">
        <v>0.99995857741095695</v>
      </c>
      <c r="AB44">
        <v>0.113152182369405</v>
      </c>
      <c r="AC44">
        <v>4.4852522783746301E-3</v>
      </c>
      <c r="AD44" t="s">
        <v>45</v>
      </c>
    </row>
    <row r="45" spans="1:30" x14ac:dyDescent="0.25">
      <c r="A45" t="s">
        <v>211</v>
      </c>
      <c r="B45" t="s">
        <v>212</v>
      </c>
      <c r="C45" s="1" t="s">
        <v>213</v>
      </c>
      <c r="D45" t="b">
        <v>1</v>
      </c>
      <c r="E45" t="s">
        <v>214</v>
      </c>
      <c r="F45">
        <v>1</v>
      </c>
      <c r="G45">
        <v>4</v>
      </c>
      <c r="H45">
        <v>0.8</v>
      </c>
      <c r="I45">
        <v>302.41400146484398</v>
      </c>
      <c r="J45">
        <v>4.0600001431705497</v>
      </c>
      <c r="K45">
        <v>4.5999999999999996</v>
      </c>
      <c r="L45" t="s">
        <v>34</v>
      </c>
      <c r="M45">
        <v>1</v>
      </c>
      <c r="N45">
        <v>0</v>
      </c>
      <c r="O45">
        <v>0</v>
      </c>
      <c r="P45">
        <v>134.36000000000001</v>
      </c>
      <c r="Q45">
        <v>0</v>
      </c>
      <c r="R45">
        <v>-244.115021365741</v>
      </c>
      <c r="S45">
        <v>-407.33811766963902</v>
      </c>
      <c r="T45" t="s">
        <v>35</v>
      </c>
      <c r="U45">
        <v>46.461311109692403</v>
      </c>
      <c r="V45" t="s">
        <v>45</v>
      </c>
      <c r="W45">
        <v>0.30404153186098298</v>
      </c>
      <c r="X45">
        <v>-0.163301276410661</v>
      </c>
      <c r="Y45">
        <v>4.1840741308419904</v>
      </c>
      <c r="Z45">
        <v>4.7793616615060097E-2</v>
      </c>
      <c r="AA45">
        <v>0.116136933436262</v>
      </c>
      <c r="AB45">
        <v>8.6681509708846805E-2</v>
      </c>
      <c r="AC45">
        <v>3.4255849314265499E-4</v>
      </c>
      <c r="AD45" t="s">
        <v>45</v>
      </c>
    </row>
    <row r="46" spans="1:30" x14ac:dyDescent="0.25">
      <c r="A46" t="s">
        <v>215</v>
      </c>
      <c r="B46" t="s">
        <v>216</v>
      </c>
      <c r="C46" s="1" t="s">
        <v>217</v>
      </c>
      <c r="D46" t="b">
        <v>1</v>
      </c>
      <c r="E46" t="s">
        <v>218</v>
      </c>
      <c r="F46">
        <v>1</v>
      </c>
      <c r="G46">
        <v>2</v>
      </c>
      <c r="H46">
        <v>0.4</v>
      </c>
      <c r="I46">
        <v>201.66000366210901</v>
      </c>
      <c r="J46">
        <v>1.7800291273373401</v>
      </c>
      <c r="K46">
        <v>6.2</v>
      </c>
      <c r="L46" t="s">
        <v>34</v>
      </c>
      <c r="M46">
        <v>0.99993239627303399</v>
      </c>
      <c r="N46" s="4">
        <v>6.7603726966310699E-5</v>
      </c>
      <c r="O46">
        <v>0</v>
      </c>
      <c r="P46">
        <v>4.83</v>
      </c>
      <c r="Q46">
        <v>0.64700000000000002</v>
      </c>
      <c r="R46">
        <v>-703.26439902646098</v>
      </c>
      <c r="S46">
        <v>-495.05978848070498</v>
      </c>
      <c r="T46" t="s">
        <v>27</v>
      </c>
      <c r="U46">
        <v>2.73243569850669</v>
      </c>
      <c r="V46">
        <v>5.7521357002176698E-2</v>
      </c>
      <c r="W46">
        <v>3.2845737936770201</v>
      </c>
      <c r="X46">
        <v>3.0825643220504399E-2</v>
      </c>
      <c r="Y46">
        <v>1.27058080103326</v>
      </c>
      <c r="Z46">
        <v>6.3103173204234794E-2</v>
      </c>
      <c r="AA46">
        <v>4.8464540349585999E-2</v>
      </c>
      <c r="AB46">
        <v>5.6712096934442999E-2</v>
      </c>
      <c r="AC46">
        <v>2.25000706755365E-4</v>
      </c>
      <c r="AD46">
        <v>-3.3148083468409202E-2</v>
      </c>
    </row>
    <row r="47" spans="1:30" x14ac:dyDescent="0.25">
      <c r="A47" t="s">
        <v>219</v>
      </c>
      <c r="B47" t="s">
        <v>220</v>
      </c>
      <c r="C47" s="1" t="s">
        <v>221</v>
      </c>
      <c r="D47" t="b">
        <v>1</v>
      </c>
      <c r="E47" t="s">
        <v>222</v>
      </c>
      <c r="F47">
        <v>3</v>
      </c>
      <c r="G47">
        <v>20</v>
      </c>
      <c r="H47">
        <v>10</v>
      </c>
      <c r="I47">
        <v>270.35000610351602</v>
      </c>
      <c r="J47">
        <v>2.34</v>
      </c>
      <c r="K47">
        <v>109</v>
      </c>
      <c r="L47" t="s">
        <v>26</v>
      </c>
      <c r="M47">
        <v>1.24327352544424E-2</v>
      </c>
      <c r="N47">
        <v>0</v>
      </c>
      <c r="O47">
        <v>0.987567264745558</v>
      </c>
      <c r="P47">
        <v>5.9400000000000001E-2</v>
      </c>
      <c r="Q47">
        <v>0.24</v>
      </c>
      <c r="R47">
        <v>-528.19906811423596</v>
      </c>
      <c r="S47">
        <v>-111.88846604424</v>
      </c>
      <c r="T47" t="s">
        <v>27</v>
      </c>
      <c r="U47">
        <v>0.17076224957229399</v>
      </c>
      <c r="V47">
        <v>2.6977811558548101E-2</v>
      </c>
      <c r="W47">
        <v>0.19709772301553</v>
      </c>
      <c r="X47">
        <v>4.20876404475692E-2</v>
      </c>
      <c r="Y47">
        <v>6.1969236515384498</v>
      </c>
      <c r="Z47" t="s">
        <v>45</v>
      </c>
      <c r="AA47">
        <v>0.99994835522101799</v>
      </c>
      <c r="AB47">
        <v>4.1677005440166802E-2</v>
      </c>
      <c r="AC47">
        <v>1.23792078278559</v>
      </c>
      <c r="AD47">
        <v>1.9306449211934899E-4</v>
      </c>
    </row>
    <row r="48" spans="1:30" x14ac:dyDescent="0.25">
      <c r="A48" t="s">
        <v>223</v>
      </c>
      <c r="B48" t="s">
        <v>224</v>
      </c>
      <c r="C48" s="1" t="s">
        <v>225</v>
      </c>
      <c r="D48" t="b">
        <v>1</v>
      </c>
      <c r="E48" t="s">
        <v>226</v>
      </c>
      <c r="F48">
        <v>1</v>
      </c>
      <c r="G48" t="s">
        <v>45</v>
      </c>
      <c r="H48">
        <v>1</v>
      </c>
      <c r="I48">
        <v>289.54000854492199</v>
      </c>
      <c r="J48">
        <v>4.9800000063569199</v>
      </c>
      <c r="K48">
        <v>10</v>
      </c>
      <c r="L48" t="s">
        <v>34</v>
      </c>
      <c r="M48">
        <v>0.65582050591239505</v>
      </c>
      <c r="N48">
        <v>0</v>
      </c>
      <c r="O48">
        <v>0.34417949408760501</v>
      </c>
      <c r="P48">
        <v>34.659999999999997</v>
      </c>
      <c r="Q48">
        <v>0</v>
      </c>
      <c r="R48">
        <v>1991.62161845177</v>
      </c>
      <c r="S48">
        <v>1995.6216179999101</v>
      </c>
      <c r="T48" t="s">
        <v>27</v>
      </c>
      <c r="U48">
        <v>7.2431818189262103</v>
      </c>
      <c r="V48">
        <v>0.37827622667939498</v>
      </c>
      <c r="W48">
        <v>2.7169888666634301</v>
      </c>
      <c r="X48">
        <v>0.17756109433113801</v>
      </c>
      <c r="Y48" t="s">
        <v>45</v>
      </c>
      <c r="Z48" t="s">
        <v>45</v>
      </c>
      <c r="AA48" t="s">
        <v>45</v>
      </c>
      <c r="AB48" t="s">
        <v>45</v>
      </c>
      <c r="AC48" t="s">
        <v>45</v>
      </c>
      <c r="AD48" t="s">
        <v>45</v>
      </c>
    </row>
    <row r="49" spans="1:30" x14ac:dyDescent="0.25">
      <c r="A49" t="s">
        <v>227</v>
      </c>
      <c r="B49" t="s">
        <v>228</v>
      </c>
      <c r="C49" s="1" t="s">
        <v>229</v>
      </c>
      <c r="D49" t="b">
        <v>1</v>
      </c>
      <c r="E49" t="s">
        <v>230</v>
      </c>
      <c r="F49">
        <v>3</v>
      </c>
      <c r="G49" t="s">
        <v>231</v>
      </c>
      <c r="H49" t="s">
        <v>232</v>
      </c>
      <c r="I49">
        <v>144.21400451660199</v>
      </c>
      <c r="J49">
        <v>2.75</v>
      </c>
      <c r="K49">
        <v>2000</v>
      </c>
      <c r="L49" t="s">
        <v>26</v>
      </c>
      <c r="M49">
        <v>2.5055926672857302E-3</v>
      </c>
      <c r="N49">
        <v>0</v>
      </c>
      <c r="O49">
        <v>0.99749440733271399</v>
      </c>
      <c r="P49" s="4">
        <v>1.7623497997329799E-6</v>
      </c>
      <c r="Q49">
        <v>0.37</v>
      </c>
      <c r="R49">
        <v>-2919.1423675586898</v>
      </c>
      <c r="S49">
        <v>-3054.57305706646</v>
      </c>
      <c r="T49" t="s">
        <v>35</v>
      </c>
      <c r="U49">
        <v>0.22738774406968701</v>
      </c>
      <c r="V49" t="s">
        <v>45</v>
      </c>
      <c r="W49">
        <v>0.58264400544977202</v>
      </c>
      <c r="X49">
        <v>-1.4530191809453401</v>
      </c>
      <c r="Y49">
        <v>453.078945693648</v>
      </c>
      <c r="Z49" t="s">
        <v>45</v>
      </c>
      <c r="AA49">
        <v>0.99905119014671095</v>
      </c>
      <c r="AB49" t="s">
        <v>45</v>
      </c>
      <c r="AC49">
        <v>0.31419998806792898</v>
      </c>
      <c r="AD49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opLeftCell="A13" workbookViewId="0">
      <selection activeCell="G50" sqref="F6:G50"/>
    </sheetView>
  </sheetViews>
  <sheetFormatPr defaultRowHeight="15" x14ac:dyDescent="0.25"/>
  <cols>
    <col min="1" max="1" width="26.140625" customWidth="1"/>
    <col min="2" max="2" width="9.7109375" customWidth="1"/>
    <col min="3" max="3" width="11.42578125" bestFit="1" customWidth="1"/>
    <col min="4" max="4" width="14.42578125" customWidth="1"/>
    <col min="5" max="5" width="9.28515625" bestFit="1" customWidth="1"/>
    <col min="6" max="6" width="12.7109375" customWidth="1"/>
    <col min="7" max="7" width="13.85546875" bestFit="1" customWidth="1"/>
  </cols>
  <sheetData>
    <row r="1" spans="1:7" x14ac:dyDescent="0.25">
      <c r="A1" t="s">
        <v>0</v>
      </c>
      <c r="B1" t="s">
        <v>1</v>
      </c>
      <c r="C1" s="1" t="s">
        <v>2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t="s">
        <v>21</v>
      </c>
      <c r="B2" t="s">
        <v>22</v>
      </c>
      <c r="C2" s="1" t="s">
        <v>23</v>
      </c>
      <c r="D2" t="s">
        <v>24</v>
      </c>
      <c r="E2" s="2">
        <v>2</v>
      </c>
      <c r="F2" s="2">
        <v>1</v>
      </c>
      <c r="G2" s="2" t="s">
        <v>25</v>
      </c>
    </row>
    <row r="3" spans="1:7" x14ac:dyDescent="0.25">
      <c r="A3" t="s">
        <v>28</v>
      </c>
      <c r="B3" t="s">
        <v>29</v>
      </c>
      <c r="C3" s="1" t="s">
        <v>30</v>
      </c>
      <c r="D3" t="s">
        <v>31</v>
      </c>
      <c r="E3" s="2">
        <v>2</v>
      </c>
      <c r="F3" s="2" t="s">
        <v>32</v>
      </c>
      <c r="G3" s="2" t="s">
        <v>33</v>
      </c>
    </row>
    <row r="4" spans="1:7" x14ac:dyDescent="0.25">
      <c r="A4" t="s">
        <v>36</v>
      </c>
      <c r="B4" t="s">
        <v>37</v>
      </c>
      <c r="C4" s="1" t="s">
        <v>38</v>
      </c>
      <c r="D4" t="s">
        <v>39</v>
      </c>
      <c r="E4" s="2">
        <v>3</v>
      </c>
      <c r="F4" s="2" t="s">
        <v>40</v>
      </c>
      <c r="G4" s="2">
        <v>1.2</v>
      </c>
    </row>
    <row r="5" spans="1:7" x14ac:dyDescent="0.25">
      <c r="A5" t="s">
        <v>41</v>
      </c>
      <c r="B5" t="s">
        <v>42</v>
      </c>
      <c r="C5" s="1" t="s">
        <v>43</v>
      </c>
      <c r="D5" t="s">
        <v>44</v>
      </c>
      <c r="E5" s="2">
        <v>3</v>
      </c>
      <c r="F5" s="2" t="s">
        <v>45</v>
      </c>
      <c r="G5" s="2">
        <v>15</v>
      </c>
    </row>
    <row r="6" spans="1:7" x14ac:dyDescent="0.25">
      <c r="A6" t="s">
        <v>46</v>
      </c>
      <c r="B6" t="s">
        <v>47</v>
      </c>
      <c r="C6" s="1" t="s">
        <v>48</v>
      </c>
      <c r="D6" t="s">
        <v>49</v>
      </c>
      <c r="E6" s="2" t="s">
        <v>50</v>
      </c>
      <c r="F6" s="2" t="s">
        <v>51</v>
      </c>
      <c r="G6" s="2" t="s">
        <v>52</v>
      </c>
    </row>
    <row r="7" spans="1:7" x14ac:dyDescent="0.25">
      <c r="A7" t="s">
        <v>46</v>
      </c>
      <c r="B7" t="s">
        <v>47</v>
      </c>
      <c r="C7" s="1" t="s">
        <v>48</v>
      </c>
      <c r="D7" t="s">
        <v>49</v>
      </c>
      <c r="E7" s="2">
        <v>1</v>
      </c>
      <c r="F7" s="2">
        <v>5</v>
      </c>
      <c r="G7" s="2">
        <v>1</v>
      </c>
    </row>
    <row r="8" spans="1:7" x14ac:dyDescent="0.25">
      <c r="A8" t="s">
        <v>46</v>
      </c>
      <c r="B8" t="s">
        <v>47</v>
      </c>
      <c r="C8" s="1" t="s">
        <v>48</v>
      </c>
      <c r="D8" t="s">
        <v>49</v>
      </c>
      <c r="E8" s="2">
        <v>2</v>
      </c>
      <c r="F8" s="2" t="s">
        <v>54</v>
      </c>
      <c r="G8" s="2" t="s">
        <v>52</v>
      </c>
    </row>
    <row r="9" spans="1:7" x14ac:dyDescent="0.25">
      <c r="A9" t="s">
        <v>55</v>
      </c>
      <c r="B9" t="s">
        <v>56</v>
      </c>
      <c r="C9" s="1" t="s">
        <v>57</v>
      </c>
      <c r="D9" t="s">
        <v>58</v>
      </c>
      <c r="E9" s="2">
        <v>1</v>
      </c>
      <c r="F9" s="2">
        <v>3</v>
      </c>
      <c r="G9" s="2">
        <v>0.6</v>
      </c>
    </row>
    <row r="10" spans="1:7" x14ac:dyDescent="0.25">
      <c r="A10" t="s">
        <v>59</v>
      </c>
      <c r="B10" t="s">
        <v>60</v>
      </c>
      <c r="C10" s="1" t="s">
        <v>61</v>
      </c>
      <c r="D10" t="s">
        <v>62</v>
      </c>
      <c r="E10" s="2">
        <v>1</v>
      </c>
      <c r="F10" s="2">
        <v>5</v>
      </c>
      <c r="G10" s="2">
        <v>1</v>
      </c>
    </row>
    <row r="11" spans="1:7" x14ac:dyDescent="0.25">
      <c r="A11" t="s">
        <v>63</v>
      </c>
      <c r="B11" t="s">
        <v>64</v>
      </c>
      <c r="C11" s="1" t="s">
        <v>65</v>
      </c>
      <c r="D11" t="s">
        <v>66</v>
      </c>
      <c r="E11" s="2">
        <v>3</v>
      </c>
      <c r="F11" s="2">
        <v>1</v>
      </c>
      <c r="G11" s="2">
        <v>10</v>
      </c>
    </row>
    <row r="12" spans="1:7" x14ac:dyDescent="0.25">
      <c r="A12" t="s">
        <v>67</v>
      </c>
      <c r="B12" t="s">
        <v>68</v>
      </c>
      <c r="C12" s="1" t="s">
        <v>69</v>
      </c>
      <c r="D12" t="s">
        <v>70</v>
      </c>
      <c r="E12" s="2">
        <v>1</v>
      </c>
      <c r="F12" s="2">
        <v>5</v>
      </c>
      <c r="G12" s="2">
        <v>1</v>
      </c>
    </row>
    <row r="13" spans="1:7" x14ac:dyDescent="0.25">
      <c r="A13" t="s">
        <v>71</v>
      </c>
      <c r="B13" t="s">
        <v>72</v>
      </c>
      <c r="C13" s="1" t="s">
        <v>73</v>
      </c>
      <c r="D13" t="s">
        <v>74</v>
      </c>
      <c r="E13" s="2">
        <v>3</v>
      </c>
      <c r="F13" s="2">
        <v>1000</v>
      </c>
      <c r="G13" s="2" t="s">
        <v>45</v>
      </c>
    </row>
    <row r="14" spans="1:7" x14ac:dyDescent="0.25">
      <c r="A14" t="s">
        <v>75</v>
      </c>
      <c r="B14" t="s">
        <v>76</v>
      </c>
      <c r="C14" s="1" t="s">
        <v>77</v>
      </c>
      <c r="D14" t="s">
        <v>78</v>
      </c>
      <c r="E14" s="2">
        <v>2</v>
      </c>
      <c r="F14" s="2" t="s">
        <v>79</v>
      </c>
      <c r="G14" s="2" t="s">
        <v>80</v>
      </c>
    </row>
    <row r="15" spans="1:7" x14ac:dyDescent="0.25">
      <c r="A15" t="s">
        <v>81</v>
      </c>
      <c r="B15" t="s">
        <v>82</v>
      </c>
      <c r="C15" s="1" t="s">
        <v>83</v>
      </c>
      <c r="D15" t="s">
        <v>84</v>
      </c>
      <c r="E15" s="2">
        <v>3</v>
      </c>
      <c r="F15" s="2" t="s">
        <v>85</v>
      </c>
      <c r="G15" s="2" t="s">
        <v>45</v>
      </c>
    </row>
    <row r="16" spans="1:7" x14ac:dyDescent="0.25">
      <c r="A16" t="s">
        <v>86</v>
      </c>
      <c r="B16" t="s">
        <v>87</v>
      </c>
      <c r="C16" s="1" t="s">
        <v>88</v>
      </c>
      <c r="D16" t="s">
        <v>89</v>
      </c>
      <c r="E16" s="2">
        <v>1</v>
      </c>
      <c r="F16" s="2">
        <v>1</v>
      </c>
      <c r="G16" s="2">
        <v>0.2</v>
      </c>
    </row>
    <row r="17" spans="1:7" x14ac:dyDescent="0.25">
      <c r="A17" t="s">
        <v>90</v>
      </c>
      <c r="B17" t="s">
        <v>91</v>
      </c>
      <c r="C17" s="1" t="s">
        <v>92</v>
      </c>
      <c r="D17" t="s">
        <v>93</v>
      </c>
      <c r="E17" s="2">
        <v>3</v>
      </c>
      <c r="F17" s="2" t="s">
        <v>45</v>
      </c>
      <c r="G17" s="2" t="s">
        <v>94</v>
      </c>
    </row>
    <row r="18" spans="1:7" x14ac:dyDescent="0.25">
      <c r="A18" t="s">
        <v>95</v>
      </c>
      <c r="B18" t="s">
        <v>96</v>
      </c>
      <c r="C18" s="1" t="s">
        <v>97</v>
      </c>
      <c r="D18" t="s">
        <v>98</v>
      </c>
      <c r="E18" s="2">
        <v>2</v>
      </c>
      <c r="F18" s="2" t="s">
        <v>99</v>
      </c>
      <c r="G18" s="2" t="s">
        <v>100</v>
      </c>
    </row>
    <row r="19" spans="1:7" x14ac:dyDescent="0.25">
      <c r="A19" t="s">
        <v>101</v>
      </c>
      <c r="B19" t="s">
        <v>102</v>
      </c>
      <c r="C19" s="1" t="s">
        <v>103</v>
      </c>
      <c r="D19" t="s">
        <v>104</v>
      </c>
      <c r="E19" s="2">
        <v>3</v>
      </c>
      <c r="F19" s="2">
        <v>18</v>
      </c>
      <c r="G19" s="2" t="s">
        <v>45</v>
      </c>
    </row>
    <row r="20" spans="1:7" x14ac:dyDescent="0.25">
      <c r="A20" t="s">
        <v>105</v>
      </c>
      <c r="B20" t="s">
        <v>106</v>
      </c>
      <c r="C20" s="1" t="s">
        <v>107</v>
      </c>
      <c r="D20" t="s">
        <v>108</v>
      </c>
      <c r="E20" s="2">
        <v>3</v>
      </c>
      <c r="F20" s="2">
        <v>20</v>
      </c>
      <c r="G20" s="2">
        <v>20</v>
      </c>
    </row>
    <row r="21" spans="1:7" x14ac:dyDescent="0.25">
      <c r="A21" t="s">
        <v>109</v>
      </c>
      <c r="B21" t="s">
        <v>110</v>
      </c>
      <c r="C21" s="1" t="s">
        <v>111</v>
      </c>
      <c r="D21" t="s">
        <v>112</v>
      </c>
      <c r="E21" s="2">
        <v>1</v>
      </c>
      <c r="F21" s="2">
        <v>5</v>
      </c>
      <c r="G21" s="2">
        <v>1</v>
      </c>
    </row>
    <row r="22" spans="1:7" x14ac:dyDescent="0.25">
      <c r="A22" t="s">
        <v>113</v>
      </c>
      <c r="B22" t="s">
        <v>114</v>
      </c>
      <c r="C22" s="1" t="s">
        <v>115</v>
      </c>
      <c r="D22" t="s">
        <v>116</v>
      </c>
      <c r="E22" s="2">
        <v>1</v>
      </c>
      <c r="F22" s="2">
        <v>2</v>
      </c>
      <c r="G22" s="2">
        <v>0.4</v>
      </c>
    </row>
    <row r="23" spans="1:7" x14ac:dyDescent="0.25">
      <c r="A23" t="s">
        <v>117</v>
      </c>
      <c r="B23" t="s">
        <v>118</v>
      </c>
      <c r="C23" s="1" t="s">
        <v>119</v>
      </c>
      <c r="D23" t="s">
        <v>120</v>
      </c>
      <c r="E23" s="2">
        <v>1</v>
      </c>
      <c r="F23" s="2">
        <v>2</v>
      </c>
      <c r="G23" s="2">
        <v>0.4</v>
      </c>
    </row>
    <row r="24" spans="1:7" x14ac:dyDescent="0.25">
      <c r="A24" t="s">
        <v>121</v>
      </c>
      <c r="B24" t="s">
        <v>122</v>
      </c>
      <c r="C24" s="1" t="s">
        <v>123</v>
      </c>
      <c r="D24" t="s">
        <v>124</v>
      </c>
      <c r="E24" s="2">
        <v>2</v>
      </c>
      <c r="F24" s="2" t="s">
        <v>125</v>
      </c>
      <c r="G24" s="2" t="s">
        <v>126</v>
      </c>
    </row>
    <row r="25" spans="1:7" x14ac:dyDescent="0.25">
      <c r="A25" t="s">
        <v>127</v>
      </c>
      <c r="B25" t="s">
        <v>128</v>
      </c>
      <c r="C25" s="1" t="s">
        <v>129</v>
      </c>
      <c r="D25" t="s">
        <v>130</v>
      </c>
      <c r="E25" s="2">
        <v>1</v>
      </c>
      <c r="F25" s="2">
        <v>5</v>
      </c>
      <c r="G25" s="2">
        <v>1</v>
      </c>
    </row>
    <row r="26" spans="1:7" x14ac:dyDescent="0.25">
      <c r="A26" t="s">
        <v>131</v>
      </c>
      <c r="B26" t="s">
        <v>132</v>
      </c>
      <c r="C26" s="1" t="s">
        <v>133</v>
      </c>
      <c r="D26" t="s">
        <v>134</v>
      </c>
      <c r="E26" s="2">
        <v>3</v>
      </c>
      <c r="F26" s="2" t="s">
        <v>45</v>
      </c>
      <c r="G26" s="2">
        <v>60</v>
      </c>
    </row>
    <row r="27" spans="1:7" x14ac:dyDescent="0.25">
      <c r="A27" t="s">
        <v>135</v>
      </c>
      <c r="B27" t="s">
        <v>136</v>
      </c>
      <c r="C27" s="1" t="s">
        <v>137</v>
      </c>
      <c r="D27" t="s">
        <v>138</v>
      </c>
      <c r="E27" s="2">
        <v>3</v>
      </c>
      <c r="F27" s="2" t="s">
        <v>45</v>
      </c>
      <c r="G27" s="2" t="s">
        <v>139</v>
      </c>
    </row>
    <row r="28" spans="1:7" x14ac:dyDescent="0.25">
      <c r="A28" t="s">
        <v>140</v>
      </c>
      <c r="B28" t="s">
        <v>141</v>
      </c>
      <c r="C28" s="1" t="s">
        <v>142</v>
      </c>
      <c r="D28" t="s">
        <v>143</v>
      </c>
      <c r="E28" s="2">
        <v>1</v>
      </c>
      <c r="F28" s="2">
        <v>5</v>
      </c>
      <c r="G28" s="2">
        <v>1</v>
      </c>
    </row>
    <row r="29" spans="1:7" x14ac:dyDescent="0.25">
      <c r="A29" t="s">
        <v>144</v>
      </c>
      <c r="B29" t="s">
        <v>145</v>
      </c>
      <c r="C29" s="1" t="s">
        <v>146</v>
      </c>
      <c r="D29" t="s">
        <v>147</v>
      </c>
      <c r="E29" s="2">
        <v>1</v>
      </c>
      <c r="F29" s="2">
        <v>5</v>
      </c>
      <c r="G29" s="2">
        <v>1</v>
      </c>
    </row>
    <row r="30" spans="1:7" x14ac:dyDescent="0.25">
      <c r="A30" t="s">
        <v>148</v>
      </c>
      <c r="B30" t="s">
        <v>149</v>
      </c>
      <c r="C30" s="1" t="s">
        <v>150</v>
      </c>
      <c r="D30" t="s">
        <v>151</v>
      </c>
      <c r="E30" s="2">
        <v>3</v>
      </c>
      <c r="F30" s="2">
        <v>50</v>
      </c>
      <c r="G30" s="2">
        <v>10</v>
      </c>
    </row>
    <row r="31" spans="1:7" x14ac:dyDescent="0.25">
      <c r="A31" t="s">
        <v>152</v>
      </c>
      <c r="B31" t="s">
        <v>153</v>
      </c>
      <c r="C31" s="1" t="s">
        <v>154</v>
      </c>
      <c r="D31" t="s">
        <v>155</v>
      </c>
      <c r="E31" s="2">
        <v>3</v>
      </c>
      <c r="F31" s="2">
        <v>20</v>
      </c>
      <c r="G31" s="2" t="s">
        <v>45</v>
      </c>
    </row>
    <row r="32" spans="1:7" x14ac:dyDescent="0.25">
      <c r="A32" t="s">
        <v>156</v>
      </c>
      <c r="B32" t="s">
        <v>157</v>
      </c>
      <c r="C32" s="1" t="s">
        <v>158</v>
      </c>
      <c r="D32" t="s">
        <v>159</v>
      </c>
      <c r="E32" s="2">
        <v>3</v>
      </c>
      <c r="F32" s="2">
        <v>15</v>
      </c>
      <c r="G32" s="2">
        <v>5</v>
      </c>
    </row>
    <row r="33" spans="1:7" x14ac:dyDescent="0.25">
      <c r="A33" t="s">
        <v>160</v>
      </c>
      <c r="B33" t="s">
        <v>161</v>
      </c>
      <c r="C33" s="1" t="s">
        <v>162</v>
      </c>
      <c r="D33" t="s">
        <v>163</v>
      </c>
      <c r="E33" s="2">
        <v>3</v>
      </c>
      <c r="F33" s="2">
        <v>10</v>
      </c>
      <c r="G33" s="2">
        <v>0.1</v>
      </c>
    </row>
    <row r="34" spans="1:7" x14ac:dyDescent="0.25">
      <c r="A34" t="s">
        <v>164</v>
      </c>
      <c r="B34" t="s">
        <v>165</v>
      </c>
      <c r="C34" s="1" t="s">
        <v>166</v>
      </c>
      <c r="D34" t="s">
        <v>167</v>
      </c>
      <c r="E34" s="2">
        <v>1</v>
      </c>
      <c r="F34" s="2">
        <v>2</v>
      </c>
      <c r="G34" s="2">
        <v>0.4</v>
      </c>
    </row>
    <row r="35" spans="1:7" x14ac:dyDescent="0.25">
      <c r="A35" t="s">
        <v>168</v>
      </c>
      <c r="B35" t="s">
        <v>169</v>
      </c>
      <c r="C35" s="1" t="s">
        <v>170</v>
      </c>
      <c r="D35" t="s">
        <v>171</v>
      </c>
      <c r="E35" s="2">
        <v>3</v>
      </c>
      <c r="F35" s="2" t="s">
        <v>172</v>
      </c>
      <c r="G35" s="2" t="s">
        <v>173</v>
      </c>
    </row>
    <row r="36" spans="1:7" x14ac:dyDescent="0.25">
      <c r="A36" t="s">
        <v>174</v>
      </c>
      <c r="B36" t="s">
        <v>175</v>
      </c>
      <c r="C36" s="1" t="s">
        <v>176</v>
      </c>
      <c r="D36" t="s">
        <v>177</v>
      </c>
      <c r="E36" s="2">
        <v>1</v>
      </c>
      <c r="F36" s="2">
        <v>1</v>
      </c>
      <c r="G36" s="2">
        <v>0.2</v>
      </c>
    </row>
    <row r="37" spans="1:7" x14ac:dyDescent="0.25">
      <c r="A37" t="s">
        <v>178</v>
      </c>
      <c r="B37" t="s">
        <v>179</v>
      </c>
      <c r="C37" s="1" t="s">
        <v>180</v>
      </c>
      <c r="D37" t="s">
        <v>181</v>
      </c>
      <c r="E37" s="2">
        <v>1</v>
      </c>
      <c r="F37" s="2">
        <v>5</v>
      </c>
      <c r="G37" s="2">
        <v>1</v>
      </c>
    </row>
    <row r="38" spans="1:7" x14ac:dyDescent="0.25">
      <c r="A38" t="s">
        <v>182</v>
      </c>
      <c r="B38" t="s">
        <v>183</v>
      </c>
      <c r="C38" s="1" t="s">
        <v>184</v>
      </c>
      <c r="D38" t="s">
        <v>185</v>
      </c>
      <c r="E38" s="2">
        <v>3</v>
      </c>
      <c r="F38" s="2" t="s">
        <v>45</v>
      </c>
      <c r="G38" s="2">
        <v>23</v>
      </c>
    </row>
    <row r="39" spans="1:7" x14ac:dyDescent="0.25">
      <c r="A39" t="s">
        <v>186</v>
      </c>
      <c r="B39" t="s">
        <v>187</v>
      </c>
      <c r="C39" s="1" t="s">
        <v>188</v>
      </c>
      <c r="D39" t="s">
        <v>189</v>
      </c>
      <c r="E39" s="2">
        <v>3</v>
      </c>
      <c r="F39" s="2">
        <v>25</v>
      </c>
      <c r="G39" s="2" t="s">
        <v>190</v>
      </c>
    </row>
    <row r="40" spans="1:7" x14ac:dyDescent="0.25">
      <c r="A40" t="s">
        <v>191</v>
      </c>
      <c r="B40" t="s">
        <v>192</v>
      </c>
      <c r="C40" s="1" t="s">
        <v>193</v>
      </c>
      <c r="D40" t="s">
        <v>194</v>
      </c>
      <c r="E40" s="2">
        <v>1</v>
      </c>
      <c r="F40" s="2">
        <v>5</v>
      </c>
      <c r="G40" s="2">
        <v>1</v>
      </c>
    </row>
    <row r="41" spans="1:7" x14ac:dyDescent="0.25">
      <c r="A41" t="s">
        <v>195</v>
      </c>
      <c r="B41" t="s">
        <v>196</v>
      </c>
      <c r="C41" s="1" t="s">
        <v>197</v>
      </c>
      <c r="D41" t="s">
        <v>198</v>
      </c>
      <c r="E41" s="2" t="s">
        <v>50</v>
      </c>
      <c r="F41" s="2" t="s">
        <v>199</v>
      </c>
      <c r="G41" s="2" t="s">
        <v>200</v>
      </c>
    </row>
    <row r="42" spans="1:7" x14ac:dyDescent="0.25">
      <c r="A42" t="s">
        <v>195</v>
      </c>
      <c r="B42" t="s">
        <v>196</v>
      </c>
      <c r="C42" s="1" t="s">
        <v>197</v>
      </c>
      <c r="D42" t="s">
        <v>198</v>
      </c>
      <c r="E42" s="2">
        <v>1</v>
      </c>
      <c r="F42" s="2">
        <v>3</v>
      </c>
      <c r="G42" s="2">
        <v>0.6</v>
      </c>
    </row>
    <row r="43" spans="1:7" x14ac:dyDescent="0.25">
      <c r="A43" t="s">
        <v>195</v>
      </c>
      <c r="B43" t="s">
        <v>196</v>
      </c>
      <c r="C43" s="1" t="s">
        <v>197</v>
      </c>
      <c r="D43" t="s">
        <v>198</v>
      </c>
      <c r="E43" s="2">
        <v>2</v>
      </c>
      <c r="F43" s="2" t="s">
        <v>201</v>
      </c>
      <c r="G43" s="2" t="s">
        <v>200</v>
      </c>
    </row>
    <row r="44" spans="1:7" x14ac:dyDescent="0.25">
      <c r="A44" t="s">
        <v>202</v>
      </c>
      <c r="B44" t="s">
        <v>203</v>
      </c>
      <c r="C44" s="1" t="s">
        <v>204</v>
      </c>
      <c r="D44" t="s">
        <v>205</v>
      </c>
      <c r="E44" s="2">
        <v>2</v>
      </c>
      <c r="F44" s="2">
        <v>1</v>
      </c>
      <c r="G44" s="2" t="s">
        <v>206</v>
      </c>
    </row>
    <row r="45" spans="1:7" x14ac:dyDescent="0.25">
      <c r="A45" t="s">
        <v>207</v>
      </c>
      <c r="B45" t="s">
        <v>208</v>
      </c>
      <c r="C45" s="1" t="s">
        <v>209</v>
      </c>
      <c r="D45" t="s">
        <v>210</v>
      </c>
      <c r="E45" s="2">
        <v>1</v>
      </c>
      <c r="F45" s="2">
        <v>4</v>
      </c>
      <c r="G45" s="2">
        <v>0.8</v>
      </c>
    </row>
    <row r="46" spans="1:7" x14ac:dyDescent="0.25">
      <c r="A46" t="s">
        <v>211</v>
      </c>
      <c r="B46" t="s">
        <v>212</v>
      </c>
      <c r="C46" s="1" t="s">
        <v>213</v>
      </c>
      <c r="D46" t="s">
        <v>214</v>
      </c>
      <c r="E46" s="2">
        <v>1</v>
      </c>
      <c r="F46" s="2">
        <v>4</v>
      </c>
      <c r="G46" s="2">
        <v>0.8</v>
      </c>
    </row>
    <row r="47" spans="1:7" x14ac:dyDescent="0.25">
      <c r="A47" t="s">
        <v>215</v>
      </c>
      <c r="B47" t="s">
        <v>216</v>
      </c>
      <c r="C47" s="1" t="s">
        <v>217</v>
      </c>
      <c r="D47" t="s">
        <v>218</v>
      </c>
      <c r="E47" s="2">
        <v>1</v>
      </c>
      <c r="F47" s="2">
        <v>2</v>
      </c>
      <c r="G47" s="2">
        <v>0.4</v>
      </c>
    </row>
    <row r="48" spans="1:7" x14ac:dyDescent="0.25">
      <c r="A48" t="s">
        <v>219</v>
      </c>
      <c r="B48" t="s">
        <v>220</v>
      </c>
      <c r="C48" s="1" t="s">
        <v>221</v>
      </c>
      <c r="D48" t="s">
        <v>222</v>
      </c>
      <c r="E48" s="2">
        <v>3</v>
      </c>
      <c r="F48" s="2">
        <v>20</v>
      </c>
      <c r="G48" s="2">
        <v>10</v>
      </c>
    </row>
    <row r="49" spans="1:7" x14ac:dyDescent="0.25">
      <c r="A49" t="s">
        <v>223</v>
      </c>
      <c r="B49" t="s">
        <v>224</v>
      </c>
      <c r="C49" s="1" t="s">
        <v>225</v>
      </c>
      <c r="D49" t="s">
        <v>226</v>
      </c>
      <c r="E49" s="2">
        <v>1</v>
      </c>
      <c r="F49" s="2">
        <v>5</v>
      </c>
      <c r="G49" s="2">
        <v>1</v>
      </c>
    </row>
    <row r="50" spans="1:7" x14ac:dyDescent="0.25">
      <c r="A50" t="s">
        <v>227</v>
      </c>
      <c r="B50" t="s">
        <v>228</v>
      </c>
      <c r="C50" s="1" t="s">
        <v>229</v>
      </c>
      <c r="D50" t="s">
        <v>230</v>
      </c>
      <c r="E50" s="2">
        <v>3</v>
      </c>
      <c r="F50" s="2" t="s">
        <v>231</v>
      </c>
      <c r="G50" s="2" t="s">
        <v>232</v>
      </c>
    </row>
    <row r="51" spans="1:7" x14ac:dyDescent="0.25">
      <c r="E51" s="2"/>
      <c r="F51" s="2"/>
      <c r="G5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workbookViewId="0">
      <selection activeCell="F20" sqref="F20"/>
    </sheetView>
  </sheetViews>
  <sheetFormatPr defaultRowHeight="15" x14ac:dyDescent="0.25"/>
  <cols>
    <col min="1" max="1" width="26.140625" bestFit="1" customWidth="1"/>
    <col min="2" max="2" width="9.28515625" bestFit="1" customWidth="1"/>
    <col min="3" max="3" width="17" bestFit="1" customWidth="1"/>
    <col min="4" max="4" width="8.5703125" bestFit="1" customWidth="1"/>
    <col min="5" max="5" width="9.42578125" customWidth="1"/>
    <col min="6" max="6" width="8.5703125" customWidth="1"/>
    <col min="7" max="8" width="10.140625" bestFit="1" customWidth="1"/>
    <col min="9" max="9" width="9.5703125" bestFit="1" customWidth="1"/>
  </cols>
  <sheetData>
    <row r="1" spans="1:9" ht="27.75" thickBot="1" x14ac:dyDescent="0.3">
      <c r="A1" s="7" t="s">
        <v>0</v>
      </c>
      <c r="B1" s="7" t="s">
        <v>5</v>
      </c>
      <c r="C1" s="7" t="s">
        <v>243</v>
      </c>
      <c r="D1" s="7" t="s">
        <v>244</v>
      </c>
      <c r="E1" s="7" t="s">
        <v>245</v>
      </c>
      <c r="F1" s="8" t="s">
        <v>246</v>
      </c>
      <c r="G1" s="7" t="s">
        <v>247</v>
      </c>
      <c r="H1" s="9" t="s">
        <v>248</v>
      </c>
      <c r="I1" s="10" t="s">
        <v>249</v>
      </c>
    </row>
    <row r="2" spans="1:9" ht="15.75" thickTop="1" x14ac:dyDescent="0.25">
      <c r="A2" t="str">
        <f>Table3[[#This Row],[Compound]]</f>
        <v>2,4-D</v>
      </c>
      <c r="B2" s="2">
        <f>Table3[[#This Row],[Source]]</f>
        <v>2</v>
      </c>
      <c r="C2" t="str">
        <f>Table3[[#This Row],[SelectedModel]]</f>
        <v>1 compartment</v>
      </c>
      <c r="D2" s="6">
        <f>Table3[[#This Row],[Vdist]]</f>
        <v>1.1572760612770201</v>
      </c>
      <c r="E2" s="5">
        <f>Table3[[#This Row],[kelim]]</f>
        <v>0.66246481136205404</v>
      </c>
      <c r="F2" s="3">
        <f>IF(ISERROR(Table2[[#This Row],[kelim (1/h)]]*Table2[[#This Row],[Vd (L/kg BW)]]),"NA",Table2[[#This Row],[kelim (1/h)]]*Table2[[#This Row],[Vd (L/kg BW)]])</f>
        <v>0.76665466762770196</v>
      </c>
      <c r="G2" s="3">
        <f>Table3[[#This Row],[kgutabs]]</f>
        <v>0.23064963191137</v>
      </c>
      <c r="H2" s="3">
        <f>Table3[[#This Row],[Fbio]]</f>
        <v>0.99997639809970895</v>
      </c>
      <c r="I2" s="11">
        <f>IF(ISERROR(Table2[[#This Row],[Fbio]]/Table2[[#This Row],[CLtot (L/kg BW/h)]]),"NA",Table2[[#This Row],[Fbio]]/Table2[[#This Row],[CLtot (L/kg BW/h)]])</f>
        <v>1.3043374550812898</v>
      </c>
    </row>
    <row r="3" spans="1:9" x14ac:dyDescent="0.25">
      <c r="A3" t="str">
        <f>Table3[[#This Row],[Compound]]</f>
        <v>Alachlor</v>
      </c>
      <c r="B3" s="2">
        <f>Table3[[#This Row],[Source]]</f>
        <v>2</v>
      </c>
      <c r="C3" t="str">
        <f>Table3[[#This Row],[SelectedModel]]</f>
        <v>2 compartment</v>
      </c>
      <c r="D3" s="6">
        <f>Table3[[#This Row],[Vdist]]</f>
        <v>297.73765343644402</v>
      </c>
      <c r="E3" s="5">
        <f>Table3[[#This Row],[kelim]]</f>
        <v>0.174789579257219</v>
      </c>
      <c r="F3" s="3">
        <f>IF(ISERROR(Table2[[#This Row],[kelim (1/h)]]*Table2[[#This Row],[Vd (L/kg BW)]]),"NA",Table2[[#This Row],[kelim (1/h)]]*Table2[[#This Row],[Vd (L/kg BW)]])</f>
        <v>52.041439173187733</v>
      </c>
      <c r="G3" s="3">
        <f>Table3[[#This Row],[kgutabs]]</f>
        <v>22.539694915559799</v>
      </c>
      <c r="H3" s="3">
        <f>Table3[[#This Row],[Fbio]]</f>
        <v>3.08028749499497E-2</v>
      </c>
      <c r="I3" s="11">
        <f>IF(ISERROR(Table2[[#This Row],[Fbio]]/Table2[[#This Row],[CLtot (L/kg BW/h)]]),"NA",Table2[[#This Row],[Fbio]]/Table2[[#This Row],[CLtot (L/kg BW/h)]])</f>
        <v>5.9189129738402093E-4</v>
      </c>
    </row>
    <row r="4" spans="1:9" x14ac:dyDescent="0.25">
      <c r="A4" t="str">
        <f>Table3[[#This Row],[Compound]]</f>
        <v>Alprazolam</v>
      </c>
      <c r="B4" s="2">
        <f>Table3[[#This Row],[Source]]</f>
        <v>3</v>
      </c>
      <c r="C4" t="str">
        <f>Table3[[#This Row],[SelectedModel]]</f>
        <v>1 compartment</v>
      </c>
      <c r="D4" s="6">
        <f>Table3[[#This Row],[Vdist]]</f>
        <v>3.6299618598104502</v>
      </c>
      <c r="E4" s="5">
        <f>Table3[[#This Row],[kelim]]</f>
        <v>2.4393075025436302</v>
      </c>
      <c r="F4" s="3">
        <f>IF(ISERROR(Table2[[#This Row],[kelim (1/h)]]*Table2[[#This Row],[Vd (L/kg BW)]]),"NA",Table2[[#This Row],[kelim (1/h)]]*Table2[[#This Row],[Vd (L/kg BW)]])</f>
        <v>8.8545931985828599</v>
      </c>
      <c r="G4" s="3">
        <f>Table3[[#This Row],[kgutabs]]</f>
        <v>0.86161790478259304</v>
      </c>
      <c r="H4" s="3">
        <f>Table3[[#This Row],[Fbio]]</f>
        <v>0.353864122324833</v>
      </c>
      <c r="I4" s="11">
        <f>IF(ISERROR(Table2[[#This Row],[Fbio]]/Table2[[#This Row],[CLtot (L/kg BW/h)]]),"NA",Table2[[#This Row],[Fbio]]/Table2[[#This Row],[CLtot (L/kg BW/h)]])</f>
        <v>3.9963905104242109E-2</v>
      </c>
    </row>
    <row r="5" spans="1:9" x14ac:dyDescent="0.25">
      <c r="A5" t="str">
        <f>Table3[[#This Row],[Compound]]</f>
        <v>Antipyrine</v>
      </c>
      <c r="B5" s="2">
        <f>Table3[[#This Row],[Source]]</f>
        <v>3</v>
      </c>
      <c r="C5" t="str">
        <f>Table3[[#This Row],[SelectedModel]]</f>
        <v>2 compartment</v>
      </c>
      <c r="D5" s="6">
        <f>Table3[[#This Row],[Vdist]]</f>
        <v>1.91803807638109</v>
      </c>
      <c r="E5" s="5">
        <f>Table3[[#This Row],[kelim]]</f>
        <v>0.11394464271561</v>
      </c>
      <c r="F5" s="3">
        <f>IF(ISERROR(Table2[[#This Row],[kelim (1/h)]]*Table2[[#This Row],[Vd (L/kg BW)]]),"NA",Table2[[#This Row],[kelim (1/h)]]*Table2[[#This Row],[Vd (L/kg BW)]])</f>
        <v>0.2185501633281792</v>
      </c>
      <c r="G5" s="3" t="str">
        <f>Table3[[#This Row],[kgutabs]]</f>
        <v>NA</v>
      </c>
      <c r="H5" s="3" t="str">
        <f>Table3[[#This Row],[Fbio]]</f>
        <v>NA</v>
      </c>
      <c r="I5" s="11" t="str">
        <f>IF(ISERROR(Table2[[#This Row],[Fbio]]/Table2[[#This Row],[CLtot (L/kg BW/h)]]),"NA",Table2[[#This Row],[Fbio]]/Table2[[#This Row],[CLtot (L/kg BW/h)]])</f>
        <v>NA</v>
      </c>
    </row>
    <row r="6" spans="1:9" x14ac:dyDescent="0.25">
      <c r="A6" t="str">
        <f>Table3[[#This Row],[Compound]]</f>
        <v>Bensulide</v>
      </c>
      <c r="B6" s="2" t="str">
        <f>Table3[[#This Row],[Source]]</f>
        <v>1,2</v>
      </c>
      <c r="C6" t="str">
        <f>Table3[[#This Row],[SelectedModel]]</f>
        <v>2 compartment</v>
      </c>
      <c r="D6" s="6">
        <f>Table3[[#This Row],[Vdist]]</f>
        <v>3.28449768539208</v>
      </c>
      <c r="E6" s="5">
        <f>Table3[[#This Row],[kelim]]</f>
        <v>0.36160542921989303</v>
      </c>
      <c r="F6" s="3">
        <f>IF(ISERROR(Table2[[#This Row],[kelim (1/h)]]*Table2[[#This Row],[Vd (L/kg BW)]]),"NA",Table2[[#This Row],[kelim (1/h)]]*Table2[[#This Row],[Vd (L/kg BW)]])</f>
        <v>1.1876921952979482</v>
      </c>
      <c r="G6" s="3">
        <f>Table3[[#This Row],[kgutabs]]</f>
        <v>3.0724974739805</v>
      </c>
      <c r="H6" s="3">
        <f>Table3[[#This Row],[Fbio]]</f>
        <v>5.3060098793424999E-2</v>
      </c>
      <c r="I6" s="11">
        <f>IF(ISERROR(Table2[[#This Row],[Fbio]]/Table2[[#This Row],[CLtot (L/kg BW/h)]]),"NA",Table2[[#This Row],[Fbio]]/Table2[[#This Row],[CLtot (L/kg BW/h)]])</f>
        <v>4.4674957875019274E-2</v>
      </c>
    </row>
    <row r="7" spans="1:9" x14ac:dyDescent="0.25">
      <c r="A7" t="str">
        <f>Table3[[#This Row],[Compound]]</f>
        <v>Bensulide</v>
      </c>
      <c r="B7" s="2">
        <f>Table3[[#This Row],[Source]]</f>
        <v>1</v>
      </c>
      <c r="C7" t="str">
        <f>Table3[[#This Row],[SelectedModel]]</f>
        <v>1 compartment</v>
      </c>
      <c r="D7" s="6">
        <f>Table3[[#This Row],[Vdist]]</f>
        <v>2.66245634011347</v>
      </c>
      <c r="E7" s="5">
        <f>Table3[[#This Row],[kelim]]</f>
        <v>1.2961919659426999</v>
      </c>
      <c r="F7" s="3">
        <f>IF(ISERROR(Table2[[#This Row],[kelim (1/h)]]*Table2[[#This Row],[Vd (L/kg BW)]]),"NA",Table2[[#This Row],[kelim (1/h)]]*Table2[[#This Row],[Vd (L/kg BW)]])</f>
        <v>3.4510545177282843</v>
      </c>
      <c r="G7" s="3">
        <f>Table3[[#This Row],[kgutabs]]</f>
        <v>1.2411362429874799</v>
      </c>
      <c r="H7" s="3">
        <f>Table3[[#This Row],[Fbio]]</f>
        <v>9.2928989241647005E-3</v>
      </c>
      <c r="I7" s="11">
        <f>IF(ISERROR(Table2[[#This Row],[Fbio]]/Table2[[#This Row],[CLtot (L/kg BW/h)]]),"NA",Table2[[#This Row],[Fbio]]/Table2[[#This Row],[CLtot (L/kg BW/h)]])</f>
        <v>2.692770825968264E-3</v>
      </c>
    </row>
    <row r="8" spans="1:9" x14ac:dyDescent="0.25">
      <c r="A8" t="str">
        <f>Table3[[#This Row],[Compound]]</f>
        <v>Bensulide</v>
      </c>
      <c r="B8" s="2">
        <f>Table3[[#This Row],[Source]]</f>
        <v>2</v>
      </c>
      <c r="C8" t="str">
        <f>Table3[[#This Row],[SelectedModel]]</f>
        <v>2 compartment</v>
      </c>
      <c r="D8" s="6">
        <f>Table3[[#This Row],[Vdist]]</f>
        <v>11.652299576892799</v>
      </c>
      <c r="E8" s="5">
        <f>Table3[[#This Row],[kelim]]</f>
        <v>0.20080376639574599</v>
      </c>
      <c r="F8" s="3">
        <f>IF(ISERROR(Table2[[#This Row],[kelim (1/h)]]*Table2[[#This Row],[Vd (L/kg BW)]]),"NA",Table2[[#This Row],[kelim (1/h)]]*Table2[[#This Row],[Vd (L/kg BW)]])</f>
        <v>2.3398256422116317</v>
      </c>
      <c r="G8" s="3">
        <f>Table3[[#This Row],[kgutabs]]</f>
        <v>23.515700722355898</v>
      </c>
      <c r="H8" s="3">
        <f>Table3[[#This Row],[Fbio]]</f>
        <v>2.6198690896047701E-2</v>
      </c>
      <c r="I8" s="11">
        <f>IF(ISERROR(Table2[[#This Row],[Fbio]]/Table2[[#This Row],[CLtot (L/kg BW/h)]]),"NA",Table2[[#This Row],[Fbio]]/Table2[[#This Row],[CLtot (L/kg BW/h)]])</f>
        <v>1.1196856049190221E-2</v>
      </c>
    </row>
    <row r="9" spans="1:9" x14ac:dyDescent="0.25">
      <c r="A9" t="str">
        <f>Table3[[#This Row],[Compound]]</f>
        <v>Bisphenol A</v>
      </c>
      <c r="B9" s="2">
        <f>Table3[[#This Row],[Source]]</f>
        <v>1</v>
      </c>
      <c r="C9" t="str">
        <f>Table3[[#This Row],[SelectedModel]]</f>
        <v>2 compartment</v>
      </c>
      <c r="D9" s="6">
        <f>Table3[[#This Row],[Vdist]]</f>
        <v>0.29816740467706299</v>
      </c>
      <c r="E9" s="5">
        <f>Table3[[#This Row],[kelim]]</f>
        <v>2.51355168919899</v>
      </c>
      <c r="F9" s="3">
        <f>IF(ISERROR(Table2[[#This Row],[kelim (1/h)]]*Table2[[#This Row],[Vd (L/kg BW)]]),"NA",Table2[[#This Row],[kelim (1/h)]]*Table2[[#This Row],[Vd (L/kg BW)]])</f>
        <v>0.74945918369011044</v>
      </c>
      <c r="G9" s="3" t="str">
        <f>Table3[[#This Row],[kgutabs]]</f>
        <v>NA</v>
      </c>
      <c r="H9" s="3" t="str">
        <f>Table3[[#This Row],[Fbio]]</f>
        <v>NA</v>
      </c>
      <c r="I9" s="11" t="str">
        <f>IF(ISERROR(Table2[[#This Row],[Fbio]]/Table2[[#This Row],[CLtot (L/kg BW/h)]]),"NA",Table2[[#This Row],[Fbio]]/Table2[[#This Row],[CLtot (L/kg BW/h)]])</f>
        <v>NA</v>
      </c>
    </row>
    <row r="10" spans="1:9" x14ac:dyDescent="0.25">
      <c r="A10" t="str">
        <f>Table3[[#This Row],[Compound]]</f>
        <v>Boscalid</v>
      </c>
      <c r="B10" s="2">
        <f>Table3[[#This Row],[Source]]</f>
        <v>1</v>
      </c>
      <c r="C10" t="str">
        <f>Table3[[#This Row],[SelectedModel]]</f>
        <v>2 compartment</v>
      </c>
      <c r="D10" s="6">
        <f>Table3[[#This Row],[Vdist]]</f>
        <v>46.229123284748397</v>
      </c>
      <c r="E10" s="5">
        <f>Table3[[#This Row],[kelim]]</f>
        <v>1.9770336381753201E-2</v>
      </c>
      <c r="F10" s="3">
        <f>IF(ISERROR(Table2[[#This Row],[kelim (1/h)]]*Table2[[#This Row],[Vd (L/kg BW)]]),"NA",Table2[[#This Row],[kelim (1/h)]]*Table2[[#This Row],[Vd (L/kg BW)]])</f>
        <v>0.91396531797301528</v>
      </c>
      <c r="G10" s="3">
        <f>Table3[[#This Row],[kgutabs]]</f>
        <v>2.1797753345315098</v>
      </c>
      <c r="H10" s="3">
        <f>Table3[[#This Row],[Fbio]]</f>
        <v>0.25131940516691398</v>
      </c>
      <c r="I10" s="11">
        <f>IF(ISERROR(Table2[[#This Row],[Fbio]]/Table2[[#This Row],[CLtot (L/kg BW/h)]]),"NA",Table2[[#This Row],[Fbio]]/Table2[[#This Row],[CLtot (L/kg BW/h)]])</f>
        <v>0.27497696053094012</v>
      </c>
    </row>
    <row r="11" spans="1:9" x14ac:dyDescent="0.25">
      <c r="A11" t="str">
        <f>Table3[[#This Row],[Compound]]</f>
        <v>Bosentan</v>
      </c>
      <c r="B11" s="2">
        <f>Table3[[#This Row],[Source]]</f>
        <v>3</v>
      </c>
      <c r="C11" t="str">
        <f>Table3[[#This Row],[SelectedModel]]</f>
        <v>1 compartment</v>
      </c>
      <c r="D11" s="6">
        <f>Table3[[#This Row],[Vdist]]</f>
        <v>2.9429156066170998</v>
      </c>
      <c r="E11" s="5">
        <f>Table3[[#This Row],[kelim]]</f>
        <v>0.48756970679412998</v>
      </c>
      <c r="F11" s="3">
        <f>IF(ISERROR(Table2[[#This Row],[kelim (1/h)]]*Table2[[#This Row],[Vd (L/kg BW)]]),"NA",Table2[[#This Row],[kelim (1/h)]]*Table2[[#This Row],[Vd (L/kg BW)]])</f>
        <v>1.4348764994381684</v>
      </c>
      <c r="G11" s="3">
        <f>Table3[[#This Row],[kgutabs]]</f>
        <v>0.85960847089446302</v>
      </c>
      <c r="H11" s="3">
        <f>Table3[[#This Row],[Fbio]]</f>
        <v>0.40734736657700099</v>
      </c>
      <c r="I11" s="11">
        <f>IF(ISERROR(Table2[[#This Row],[Fbio]]/Table2[[#This Row],[CLtot (L/kg BW/h)]]),"NA",Table2[[#This Row],[Fbio]]/Table2[[#This Row],[CLtot (L/kg BW/h)]])</f>
        <v>0.28389019315355674</v>
      </c>
    </row>
    <row r="12" spans="1:9" x14ac:dyDescent="0.25">
      <c r="A12" t="str">
        <f>Table3[[#This Row],[Compound]]</f>
        <v>Carbaryl</v>
      </c>
      <c r="B12" s="2">
        <f>Table3[[#This Row],[Source]]</f>
        <v>1</v>
      </c>
      <c r="C12" t="str">
        <f>Table3[[#This Row],[SelectedModel]]</f>
        <v>2 compartment</v>
      </c>
      <c r="D12" s="6">
        <f>Table3[[#This Row],[Vdist]]</f>
        <v>65.433338600875899</v>
      </c>
      <c r="E12" s="5">
        <f>Table3[[#This Row],[kelim]]</f>
        <v>1.3471678594461201</v>
      </c>
      <c r="F12" s="3">
        <f>IF(ISERROR(Table2[[#This Row],[kelim (1/h)]]*Table2[[#This Row],[Vd (L/kg BW)]]),"NA",Table2[[#This Row],[kelim (1/h)]]*Table2[[#This Row],[Vd (L/kg BW)]])</f>
        <v>88.149690699355162</v>
      </c>
      <c r="G12" s="3">
        <f>Table3[[#This Row],[kgutabs]]</f>
        <v>11.766925142054401</v>
      </c>
      <c r="H12" s="3">
        <f>Table3[[#This Row],[Fbio]]</f>
        <v>0.30816335516392801</v>
      </c>
      <c r="I12" s="11">
        <f>IF(ISERROR(Table2[[#This Row],[Fbio]]/Table2[[#This Row],[CLtot (L/kg BW/h)]]),"NA",Table2[[#This Row],[Fbio]]/Table2[[#This Row],[CLtot (L/kg BW/h)]])</f>
        <v>3.4959096591155969E-3</v>
      </c>
    </row>
    <row r="13" spans="1:9" x14ac:dyDescent="0.25">
      <c r="A13" t="str">
        <f>Table3[[#This Row],[Compound]]</f>
        <v>Carbendazim</v>
      </c>
      <c r="B13" s="2">
        <f>Table3[[#This Row],[Source]]</f>
        <v>3</v>
      </c>
      <c r="C13" t="str">
        <f>Table3[[#This Row],[SelectedModel]]</f>
        <v>1 compartment</v>
      </c>
      <c r="D13" s="6" t="str">
        <f>Table3[[#This Row],[Vdist]]</f>
        <v>NA</v>
      </c>
      <c r="E13" s="5">
        <f>Table3[[#This Row],[kelim]]</f>
        <v>0.36655681283525499</v>
      </c>
      <c r="F13" s="3" t="str">
        <f>IF(ISERROR(Table2[[#This Row],[kelim (1/h)]]*Table2[[#This Row],[Vd (L/kg BW)]]),"NA",Table2[[#This Row],[kelim (1/h)]]*Table2[[#This Row],[Vd (L/kg BW)]])</f>
        <v>NA</v>
      </c>
      <c r="G13" s="3">
        <f>Table3[[#This Row],[kgutabs]]</f>
        <v>0.79754699986021904</v>
      </c>
      <c r="H13" s="3" t="str">
        <f>Table3[[#This Row],[Fbio]]</f>
        <v>NA</v>
      </c>
      <c r="I13" s="11" t="str">
        <f>IF(ISERROR(Table2[[#This Row],[Fbio]]/Table2[[#This Row],[CLtot (L/kg BW/h)]]),"NA",Table2[[#This Row],[Fbio]]/Table2[[#This Row],[CLtot (L/kg BW/h)]])</f>
        <v>NA</v>
      </c>
    </row>
    <row r="14" spans="1:9" x14ac:dyDescent="0.25">
      <c r="A14" t="str">
        <f>Table3[[#This Row],[Compound]]</f>
        <v>Chloridazon</v>
      </c>
      <c r="B14" s="2">
        <f>Table3[[#This Row],[Source]]</f>
        <v>2</v>
      </c>
      <c r="C14" t="str">
        <f>Table3[[#This Row],[SelectedModel]]</f>
        <v>1 compartment</v>
      </c>
      <c r="D14" s="6">
        <f>Table3[[#This Row],[Vdist]]</f>
        <v>9.0098914693691903</v>
      </c>
      <c r="E14" s="5">
        <f>Table3[[#This Row],[kelim]]</f>
        <v>0.57640970121071</v>
      </c>
      <c r="F14" s="3">
        <f>IF(ISERROR(Table2[[#This Row],[kelim (1/h)]]*Table2[[#This Row],[Vd (L/kg BW)]]),"NA",Table2[[#This Row],[kelim (1/h)]]*Table2[[#This Row],[Vd (L/kg BW)]])</f>
        <v>5.1933888498000202</v>
      </c>
      <c r="G14" s="3">
        <f>Table3[[#This Row],[kgutabs]]</f>
        <v>0.47326923657625403</v>
      </c>
      <c r="H14" s="3">
        <f>Table3[[#This Row],[Fbio]]</f>
        <v>0.99978498374008695</v>
      </c>
      <c r="I14" s="11">
        <f>IF(ISERROR(Table2[[#This Row],[Fbio]]/Table2[[#This Row],[CLtot (L/kg BW/h)]]),"NA",Table2[[#This Row],[Fbio]]/Table2[[#This Row],[CLtot (L/kg BW/h)]])</f>
        <v>0.19251109683007567</v>
      </c>
    </row>
    <row r="15" spans="1:9" x14ac:dyDescent="0.25">
      <c r="A15" t="str">
        <f>Table3[[#This Row],[Compound]]</f>
        <v>Chlorpyrifos</v>
      </c>
      <c r="B15" s="2">
        <f>Table3[[#This Row],[Source]]</f>
        <v>3</v>
      </c>
      <c r="C15" t="str">
        <f>Table3[[#This Row],[SelectedModel]]</f>
        <v>2 compartment</v>
      </c>
      <c r="D15" s="6" t="str">
        <f>Table3[[#This Row],[Vdist]]</f>
        <v>NA</v>
      </c>
      <c r="E15" s="5">
        <f>Table3[[#This Row],[kelim]]</f>
        <v>0.22851059132849999</v>
      </c>
      <c r="F15" s="3" t="str">
        <f>IF(ISERROR(Table2[[#This Row],[kelim (1/h)]]*Table2[[#This Row],[Vd (L/kg BW)]]),"NA",Table2[[#This Row],[kelim (1/h)]]*Table2[[#This Row],[Vd (L/kg BW)]])</f>
        <v>NA</v>
      </c>
      <c r="G15" s="3">
        <f>Table3[[#This Row],[kgutabs]]</f>
        <v>0.57728147741246705</v>
      </c>
      <c r="H15" s="3" t="str">
        <f>Table3[[#This Row],[Fbio]]</f>
        <v>NA</v>
      </c>
      <c r="I15" s="11" t="str">
        <f>IF(ISERROR(Table2[[#This Row],[Fbio]]/Table2[[#This Row],[CLtot (L/kg BW/h)]]),"NA",Table2[[#This Row],[Fbio]]/Table2[[#This Row],[CLtot (L/kg BW/h)]])</f>
        <v>NA</v>
      </c>
    </row>
    <row r="16" spans="1:9" x14ac:dyDescent="0.25">
      <c r="A16" t="str">
        <f>Table3[[#This Row],[Compound]]</f>
        <v>Cyclanilide</v>
      </c>
      <c r="B16" s="2">
        <f>Table3[[#This Row],[Source]]</f>
        <v>1</v>
      </c>
      <c r="C16" t="str">
        <f>Table3[[#This Row],[SelectedModel]]</f>
        <v>2 compartment</v>
      </c>
      <c r="D16" s="6">
        <f>Table3[[#This Row],[Vdist]]</f>
        <v>1.1928787893072901</v>
      </c>
      <c r="E16" s="5">
        <f>Table3[[#This Row],[kelim]]</f>
        <v>3.1894946286986502E-3</v>
      </c>
      <c r="F16" s="3">
        <f>IF(ISERROR(Table2[[#This Row],[kelim (1/h)]]*Table2[[#This Row],[Vd (L/kg BW)]]),"NA",Table2[[#This Row],[kelim (1/h)]]*Table2[[#This Row],[Vd (L/kg BW)]])</f>
        <v>3.8046804911841506E-3</v>
      </c>
      <c r="G16" s="3">
        <f>Table3[[#This Row],[kgutabs]]</f>
        <v>2.9572946406723801</v>
      </c>
      <c r="H16" s="3">
        <f>Table3[[#This Row],[Fbio]]</f>
        <v>0.30905857526402503</v>
      </c>
      <c r="I16" s="11">
        <f>IF(ISERROR(Table2[[#This Row],[Fbio]]/Table2[[#This Row],[CLtot (L/kg BW/h)]]),"NA",Table2[[#This Row],[Fbio]]/Table2[[#This Row],[CLtot (L/kg BW/h)]])</f>
        <v>81.231150941622204</v>
      </c>
    </row>
    <row r="17" spans="1:9" x14ac:dyDescent="0.25">
      <c r="A17" t="str">
        <f>Table3[[#This Row],[Compound]]</f>
        <v>Cyclosporin A</v>
      </c>
      <c r="B17" s="2">
        <f>Table3[[#This Row],[Source]]</f>
        <v>3</v>
      </c>
      <c r="C17" t="str">
        <f>Table3[[#This Row],[SelectedModel]]</f>
        <v>2 compartment</v>
      </c>
      <c r="D17" s="6">
        <f>Table3[[#This Row],[Vdist]]</f>
        <v>1.97996235569324</v>
      </c>
      <c r="E17" s="5">
        <f>Table3[[#This Row],[kelim]]</f>
        <v>8.2082481547093702E-2</v>
      </c>
      <c r="F17" s="3">
        <f>IF(ISERROR(Table2[[#This Row],[kelim (1/h)]]*Table2[[#This Row],[Vd (L/kg BW)]]),"NA",Table2[[#This Row],[kelim (1/h)]]*Table2[[#This Row],[Vd (L/kg BW)]])</f>
        <v>0.16252022352513054</v>
      </c>
      <c r="G17" s="3" t="str">
        <f>Table3[[#This Row],[kgutabs]]</f>
        <v>NA</v>
      </c>
      <c r="H17" s="3" t="str">
        <f>Table3[[#This Row],[Fbio]]</f>
        <v>NA</v>
      </c>
      <c r="I17" s="11" t="str">
        <f>IF(ISERROR(Table2[[#This Row],[Fbio]]/Table2[[#This Row],[CLtot (L/kg BW/h)]]),"NA",Table2[[#This Row],[Fbio]]/Table2[[#This Row],[CLtot (L/kg BW/h)]])</f>
        <v>NA</v>
      </c>
    </row>
    <row r="18" spans="1:9" x14ac:dyDescent="0.25">
      <c r="A18" t="str">
        <f>Table3[[#This Row],[Compound]]</f>
        <v>Diazinon-o-analog</v>
      </c>
      <c r="B18" s="2">
        <f>Table3[[#This Row],[Source]]</f>
        <v>2</v>
      </c>
      <c r="C18" t="str">
        <f>Table3[[#This Row],[SelectedModel]]</f>
        <v>1 compartment</v>
      </c>
      <c r="D18" s="6">
        <f>Table3[[#This Row],[Vdist]]</f>
        <v>2.5552326668372598</v>
      </c>
      <c r="E18" s="5">
        <f>Table3[[#This Row],[kelim]]</f>
        <v>0.195291985452797</v>
      </c>
      <c r="F18" s="3">
        <f>IF(ISERROR(Table2[[#This Row],[kelim (1/h)]]*Table2[[#This Row],[Vd (L/kg BW)]]),"NA",Table2[[#This Row],[kelim (1/h)]]*Table2[[#This Row],[Vd (L/kg BW)]])</f>
        <v>0.49901646080049383</v>
      </c>
      <c r="G18" s="3">
        <f>Table3[[#This Row],[kgutabs]]</f>
        <v>1.91606432197114</v>
      </c>
      <c r="H18" s="3">
        <f>Table3[[#This Row],[Fbio]]</f>
        <v>0.70130702217423802</v>
      </c>
      <c r="I18" s="11">
        <f>IF(ISERROR(Table2[[#This Row],[Fbio]]/Table2[[#This Row],[CLtot (L/kg BW/h)]]),"NA",Table2[[#This Row],[Fbio]]/Table2[[#This Row],[CLtot (L/kg BW/h)]])</f>
        <v>1.4053785341053502</v>
      </c>
    </row>
    <row r="19" spans="1:9" x14ac:dyDescent="0.25">
      <c r="A19" t="str">
        <f>Table3[[#This Row],[Compound]]</f>
        <v>Diclofenac</v>
      </c>
      <c r="B19" s="2">
        <f>Table3[[#This Row],[Source]]</f>
        <v>3</v>
      </c>
      <c r="C19" t="str">
        <f>Table3[[#This Row],[SelectedModel]]</f>
        <v>2 compartment</v>
      </c>
      <c r="D19" s="6" t="str">
        <f>Table3[[#This Row],[Vdist]]</f>
        <v>NA</v>
      </c>
      <c r="E19" s="5">
        <f>Table3[[#This Row],[kelim]]</f>
        <v>9.6251709509419206E-2</v>
      </c>
      <c r="F19" s="3" t="str">
        <f>IF(ISERROR(Table2[[#This Row],[kelim (1/h)]]*Table2[[#This Row],[Vd (L/kg BW)]]),"NA",Table2[[#This Row],[kelim (1/h)]]*Table2[[#This Row],[Vd (L/kg BW)]])</f>
        <v>NA</v>
      </c>
      <c r="G19" s="3">
        <f>Table3[[#This Row],[kgutabs]]</f>
        <v>418.29896711674598</v>
      </c>
      <c r="H19" s="3" t="str">
        <f>Table3[[#This Row],[Fbio]]</f>
        <v>NA</v>
      </c>
      <c r="I19" s="11" t="str">
        <f>IF(ISERROR(Table2[[#This Row],[Fbio]]/Table2[[#This Row],[CLtot (L/kg BW/h)]]),"NA",Table2[[#This Row],[Fbio]]/Table2[[#This Row],[CLtot (L/kg BW/h)]])</f>
        <v>NA</v>
      </c>
    </row>
    <row r="20" spans="1:9" x14ac:dyDescent="0.25">
      <c r="A20" t="str">
        <f>Table3[[#This Row],[Compound]]</f>
        <v>Diltiazem</v>
      </c>
      <c r="B20" s="2">
        <f>Table3[[#This Row],[Source]]</f>
        <v>3</v>
      </c>
      <c r="C20" t="str">
        <f>Table3[[#This Row],[SelectedModel]]</f>
        <v>2 compartment</v>
      </c>
      <c r="D20" s="6">
        <f>Table3[[#This Row],[Vdist]]</f>
        <v>4.3080425912209899</v>
      </c>
      <c r="E20" s="5">
        <f>Table3[[#This Row],[kelim]]</f>
        <v>0.32377938612167001</v>
      </c>
      <c r="F20" s="3">
        <f>IF(ISERROR(Table2[[#This Row],[kelim (1/h)]]*Table2[[#This Row],[Vd (L/kg BW)]]),"NA",Table2[[#This Row],[kelim (1/h)]]*Table2[[#This Row],[Vd (L/kg BW)]])</f>
        <v>1.3948553855715407</v>
      </c>
      <c r="G20" s="3">
        <f>Table3[[#This Row],[kgutabs]]</f>
        <v>100.874018783685</v>
      </c>
      <c r="H20" s="3">
        <f>Table3[[#This Row],[Fbio]]</f>
        <v>0.17086219433858801</v>
      </c>
      <c r="I20" s="11">
        <f>IF(ISERROR(Table2[[#This Row],[Fbio]]/Table2[[#This Row],[CLtot (L/kg BW/h)]]),"NA",Table2[[#This Row],[Fbio]]/Table2[[#This Row],[CLtot (L/kg BW/h)]])</f>
        <v>0.12249455829327956</v>
      </c>
    </row>
    <row r="21" spans="1:9" x14ac:dyDescent="0.25">
      <c r="A21" t="str">
        <f>Table3[[#This Row],[Compound]]</f>
        <v>Dimethenamid</v>
      </c>
      <c r="B21" s="2">
        <f>Table3[[#This Row],[Source]]</f>
        <v>1</v>
      </c>
      <c r="C21" t="str">
        <f>Table3[[#This Row],[SelectedModel]]</f>
        <v>1 compartment</v>
      </c>
      <c r="D21" s="6">
        <f>Table3[[#This Row],[Vdist]]</f>
        <v>299.21728445532699</v>
      </c>
      <c r="E21" s="5">
        <f>Table3[[#This Row],[kelim]]</f>
        <v>4.6056987184955503E-2</v>
      </c>
      <c r="F21" s="3">
        <f>IF(ISERROR(Table2[[#This Row],[kelim (1/h)]]*Table2[[#This Row],[Vd (L/kg BW)]]),"NA",Table2[[#This Row],[kelim (1/h)]]*Table2[[#This Row],[Vd (L/kg BW)]])</f>
        <v>13.78104663567618</v>
      </c>
      <c r="G21" s="3">
        <f>Table3[[#This Row],[kgutabs]]</f>
        <v>102.33831673116499</v>
      </c>
      <c r="H21" s="3">
        <f>Table3[[#This Row],[Fbio]]</f>
        <v>5.58125660683087E-2</v>
      </c>
      <c r="I21" s="11">
        <f>IF(ISERROR(Table2[[#This Row],[Fbio]]/Table2[[#This Row],[CLtot (L/kg BW/h)]]),"NA",Table2[[#This Row],[Fbio]]/Table2[[#This Row],[CLtot (L/kg BW/h)]])</f>
        <v>4.0499511788764948E-3</v>
      </c>
    </row>
    <row r="22" spans="1:9" x14ac:dyDescent="0.25">
      <c r="A22" t="str">
        <f>Table3[[#This Row],[Compound]]</f>
        <v>Etoxazole</v>
      </c>
      <c r="B22" s="2">
        <f>Table3[[#This Row],[Source]]</f>
        <v>1</v>
      </c>
      <c r="C22" t="str">
        <f>Table3[[#This Row],[SelectedModel]]</f>
        <v>2 compartment</v>
      </c>
      <c r="D22" s="6">
        <f>Table3[[#This Row],[Vdist]]</f>
        <v>27.642980254403501</v>
      </c>
      <c r="E22" s="5">
        <f>Table3[[#This Row],[kelim]]</f>
        <v>5.8841636865927298E-2</v>
      </c>
      <c r="F22" s="3">
        <f>IF(ISERROR(Table2[[#This Row],[kelim (1/h)]]*Table2[[#This Row],[Vd (L/kg BW)]]),"NA",Table2[[#This Row],[kelim (1/h)]]*Table2[[#This Row],[Vd (L/kg BW)]])</f>
        <v>1.6265582060216093</v>
      </c>
      <c r="G22" s="3">
        <f>Table3[[#This Row],[kgutabs]]</f>
        <v>1.5204872513604499</v>
      </c>
      <c r="H22" s="3">
        <f>Table3[[#This Row],[Fbio]]</f>
        <v>0.99925731176580201</v>
      </c>
      <c r="I22" s="11">
        <f>IF(ISERROR(Table2[[#This Row],[Fbio]]/Table2[[#This Row],[CLtot (L/kg BW/h)]]),"NA",Table2[[#This Row],[Fbio]]/Table2[[#This Row],[CLtot (L/kg BW/h)]])</f>
        <v>0.61433848974263305</v>
      </c>
    </row>
    <row r="23" spans="1:9" x14ac:dyDescent="0.25">
      <c r="A23" t="str">
        <f>Table3[[#This Row],[Compound]]</f>
        <v>Fenarimol</v>
      </c>
      <c r="B23" s="2">
        <f>Table3[[#This Row],[Source]]</f>
        <v>1</v>
      </c>
      <c r="C23" t="str">
        <f>Table3[[#This Row],[SelectedModel]]</f>
        <v>2 compartment</v>
      </c>
      <c r="D23" s="6">
        <f>Table3[[#This Row],[Vdist]]</f>
        <v>6.4547231393851003</v>
      </c>
      <c r="E23" s="5">
        <f>Table3[[#This Row],[kelim]]</f>
        <v>0.26672873732955799</v>
      </c>
      <c r="F23" s="3">
        <f>IF(ISERROR(Table2[[#This Row],[kelim (1/h)]]*Table2[[#This Row],[Vd (L/kg BW)]]),"NA",Table2[[#This Row],[kelim (1/h)]]*Table2[[#This Row],[Vd (L/kg BW)]])</f>
        <v>1.7216601527800683</v>
      </c>
      <c r="G23" s="3">
        <f>Table3[[#This Row],[kgutabs]]</f>
        <v>2.1918360650894102</v>
      </c>
      <c r="H23" s="3">
        <f>Table3[[#This Row],[Fbio]]</f>
        <v>0.254802681488219</v>
      </c>
      <c r="I23" s="11">
        <f>IF(ISERROR(Table2[[#This Row],[Fbio]]/Table2[[#This Row],[CLtot (L/kg BW/h)]]),"NA",Table2[[#This Row],[Fbio]]/Table2[[#This Row],[CLtot (L/kg BW/h)]])</f>
        <v>0.14799824522672128</v>
      </c>
    </row>
    <row r="24" spans="1:9" x14ac:dyDescent="0.25">
      <c r="A24" t="str">
        <f>Table3[[#This Row],[Compound]]</f>
        <v>Flufenacet</v>
      </c>
      <c r="B24" s="2">
        <f>Table3[[#This Row],[Source]]</f>
        <v>2</v>
      </c>
      <c r="C24" t="str">
        <f>Table3[[#This Row],[SelectedModel]]</f>
        <v>2 compartment</v>
      </c>
      <c r="D24" s="6">
        <f>Table3[[#This Row],[Vdist]]</f>
        <v>24.304997481264</v>
      </c>
      <c r="E24" s="5">
        <f>Table3[[#This Row],[kelim]]</f>
        <v>0.130860169963951</v>
      </c>
      <c r="F24" s="3">
        <f>IF(ISERROR(Table2[[#This Row],[kelim (1/h)]]*Table2[[#This Row],[Vd (L/kg BW)]]),"NA",Table2[[#This Row],[kelim (1/h)]]*Table2[[#This Row],[Vd (L/kg BW)]])</f>
        <v>3.1805561013716082</v>
      </c>
      <c r="G24" s="3">
        <f>Table3[[#This Row],[kgutabs]]</f>
        <v>29.1277837845665</v>
      </c>
      <c r="H24" s="3">
        <f>Table3[[#This Row],[Fbio]]</f>
        <v>6.2885024185312693E-2</v>
      </c>
      <c r="I24" s="11">
        <f>IF(ISERROR(Table2[[#This Row],[Fbio]]/Table2[[#This Row],[CLtot (L/kg BW/h)]]),"NA",Table2[[#This Row],[Fbio]]/Table2[[#This Row],[CLtot (L/kg BW/h)]])</f>
        <v>1.9771707267855976E-2</v>
      </c>
    </row>
    <row r="25" spans="1:9" x14ac:dyDescent="0.25">
      <c r="A25" t="str">
        <f>Table3[[#This Row],[Compound]]</f>
        <v>Hexobarbitone</v>
      </c>
      <c r="B25" s="2">
        <f>Table3[[#This Row],[Source]]</f>
        <v>3</v>
      </c>
      <c r="C25" t="str">
        <f>Table3[[#This Row],[SelectedModel]]</f>
        <v>2 compartment</v>
      </c>
      <c r="D25" s="6">
        <f>Table3[[#This Row],[Vdist]]</f>
        <v>0.47172877039258798</v>
      </c>
      <c r="E25" s="5">
        <f>Table3[[#This Row],[kelim]]</f>
        <v>1.89164744987441</v>
      </c>
      <c r="F25" s="3">
        <f>IF(ISERROR(Table2[[#This Row],[kelim (1/h)]]*Table2[[#This Row],[Vd (L/kg BW)]]),"NA",Table2[[#This Row],[kelim (1/h)]]*Table2[[#This Row],[Vd (L/kg BW)]])</f>
        <v>0.89234452554553012</v>
      </c>
      <c r="G25" s="3" t="str">
        <f>Table3[[#This Row],[kgutabs]]</f>
        <v>NA</v>
      </c>
      <c r="H25" s="3" t="str">
        <f>Table3[[#This Row],[Fbio]]</f>
        <v>NA</v>
      </c>
      <c r="I25" s="11" t="str">
        <f>IF(ISERROR(Table2[[#This Row],[Fbio]]/Table2[[#This Row],[CLtot (L/kg BW/h)]]),"NA",Table2[[#This Row],[Fbio]]/Table2[[#This Row],[CLtot (L/kg BW/h)]])</f>
        <v>NA</v>
      </c>
    </row>
    <row r="26" spans="1:9" x14ac:dyDescent="0.25">
      <c r="A26" t="str">
        <f>Table3[[#This Row],[Compound]]</f>
        <v>Ibuprofen</v>
      </c>
      <c r="B26" s="2">
        <f>Table3[[#This Row],[Source]]</f>
        <v>3</v>
      </c>
      <c r="C26" t="str">
        <f>Table3[[#This Row],[SelectedModel]]</f>
        <v>2 compartment</v>
      </c>
      <c r="D26" s="6">
        <f>Table3[[#This Row],[Vdist]]</f>
        <v>0.45078376650485502</v>
      </c>
      <c r="E26" s="5">
        <f>Table3[[#This Row],[kelim]]</f>
        <v>0.26687920961536099</v>
      </c>
      <c r="F26" s="3">
        <f>IF(ISERROR(Table2[[#This Row],[kelim (1/h)]]*Table2[[#This Row],[Vd (L/kg BW)]]),"NA",Table2[[#This Row],[kelim (1/h)]]*Table2[[#This Row],[Vd (L/kg BW)]])</f>
        <v>0.12030481531225115</v>
      </c>
      <c r="G26" s="3" t="str">
        <f>Table3[[#This Row],[kgutabs]]</f>
        <v>NA</v>
      </c>
      <c r="H26" s="3" t="str">
        <f>Table3[[#This Row],[Fbio]]</f>
        <v>NA</v>
      </c>
      <c r="I26" s="11" t="str">
        <f>IF(ISERROR(Table2[[#This Row],[Fbio]]/Table2[[#This Row],[CLtot (L/kg BW/h)]]),"NA",Table2[[#This Row],[Fbio]]/Table2[[#This Row],[CLtot (L/kg BW/h)]])</f>
        <v>NA</v>
      </c>
    </row>
    <row r="27" spans="1:9" x14ac:dyDescent="0.25">
      <c r="A27" t="str">
        <f>Table3[[#This Row],[Compound]]</f>
        <v>Imazalil</v>
      </c>
      <c r="B27" s="2">
        <f>Table3[[#This Row],[Source]]</f>
        <v>1</v>
      </c>
      <c r="C27" t="str">
        <f>Table3[[#This Row],[SelectedModel]]</f>
        <v>1 compartment</v>
      </c>
      <c r="D27" s="6">
        <f>Table3[[#This Row],[Vdist]]</f>
        <v>15.960863537924199</v>
      </c>
      <c r="E27" s="5">
        <f>Table3[[#This Row],[kelim]]</f>
        <v>0.79373465239362995</v>
      </c>
      <c r="F27" s="3">
        <f>IF(ISERROR(Table2[[#This Row],[kelim (1/h)]]*Table2[[#This Row],[Vd (L/kg BW)]]),"NA",Table2[[#This Row],[kelim (1/h)]]*Table2[[#This Row],[Vd (L/kg BW)]])</f>
        <v>12.668690472176428</v>
      </c>
      <c r="G27" s="3">
        <f>Table3[[#This Row],[kgutabs]]</f>
        <v>5.1871738387643802</v>
      </c>
      <c r="H27" s="3">
        <f>Table3[[#This Row],[Fbio]]</f>
        <v>2.9565672104083199E-3</v>
      </c>
      <c r="I27" s="11">
        <f>IF(ISERROR(Table2[[#This Row],[Fbio]]/Table2[[#This Row],[CLtot (L/kg BW/h)]]),"NA",Table2[[#This Row],[Fbio]]/Table2[[#This Row],[CLtot (L/kg BW/h)]])</f>
        <v>2.3337591339070692E-4</v>
      </c>
    </row>
    <row r="28" spans="1:9" x14ac:dyDescent="0.25">
      <c r="A28" t="str">
        <f>Table3[[#This Row],[Compound]]</f>
        <v>Imidacloprid</v>
      </c>
      <c r="B28" s="2">
        <f>Table3[[#This Row],[Source]]</f>
        <v>1</v>
      </c>
      <c r="C28" t="str">
        <f>Table3[[#This Row],[SelectedModel]]</f>
        <v>1 compartment</v>
      </c>
      <c r="D28" s="6">
        <f>Table3[[#This Row],[Vdist]]</f>
        <v>4.6626489488812304</v>
      </c>
      <c r="E28" s="5">
        <f>Table3[[#This Row],[kelim]]</f>
        <v>8.3841346214235904E-2</v>
      </c>
      <c r="F28" s="3">
        <f>IF(ISERROR(Table2[[#This Row],[kelim (1/h)]]*Table2[[#This Row],[Vd (L/kg BW)]]),"NA",Table2[[#This Row],[kelim (1/h)]]*Table2[[#This Row],[Vd (L/kg BW)]])</f>
        <v>0.39092276479859434</v>
      </c>
      <c r="G28" s="3">
        <f>Table3[[#This Row],[kgutabs]]</f>
        <v>1.8039210877979699</v>
      </c>
      <c r="H28" s="3">
        <f>Table3[[#This Row],[Fbio]]</f>
        <v>0.99942843819511795</v>
      </c>
      <c r="I28" s="11">
        <f>IF(ISERROR(Table2[[#This Row],[Fbio]]/Table2[[#This Row],[CLtot (L/kg BW/h)]]),"NA",Table2[[#This Row],[Fbio]]/Table2[[#This Row],[CLtot (L/kg BW/h)]])</f>
        <v>2.5565879713094457</v>
      </c>
    </row>
    <row r="29" spans="1:9" x14ac:dyDescent="0.25">
      <c r="A29" t="str">
        <f>Table3[[#This Row],[Compound]]</f>
        <v>Imipramine</v>
      </c>
      <c r="B29" s="2">
        <f>Table3[[#This Row],[Source]]</f>
        <v>3</v>
      </c>
      <c r="C29" t="str">
        <f>Table3[[#This Row],[SelectedModel]]</f>
        <v>2 compartment</v>
      </c>
      <c r="D29" s="6">
        <f>Table3[[#This Row],[Vdist]]</f>
        <v>68.527761689279501</v>
      </c>
      <c r="E29" s="5">
        <f>Table3[[#This Row],[kelim]]</f>
        <v>2.2331893583249999E-2</v>
      </c>
      <c r="F29" s="3">
        <f>IF(ISERROR(Table2[[#This Row],[kelim (1/h)]]*Table2[[#This Row],[Vd (L/kg BW)]]),"NA",Table2[[#This Row],[kelim (1/h)]]*Table2[[#This Row],[Vd (L/kg BW)]])</f>
        <v>1.530354681543306</v>
      </c>
      <c r="G29" s="3">
        <f>Table3[[#This Row],[kgutabs]]</f>
        <v>1.35608424081755</v>
      </c>
      <c r="H29" s="3">
        <f>Table3[[#This Row],[Fbio]]</f>
        <v>0.25920472856514898</v>
      </c>
      <c r="I29" s="11">
        <f>IF(ISERROR(Table2[[#This Row],[Fbio]]/Table2[[#This Row],[CLtot (L/kg BW/h)]]),"NA",Table2[[#This Row],[Fbio]]/Table2[[#This Row],[CLtot (L/kg BW/h)]])</f>
        <v>0.169375590960228</v>
      </c>
    </row>
    <row r="30" spans="1:9" x14ac:dyDescent="0.25">
      <c r="A30" t="str">
        <f>Table3[[#This Row],[Compound]]</f>
        <v>Metoprolol</v>
      </c>
      <c r="B30" s="2">
        <f>Table3[[#This Row],[Source]]</f>
        <v>3</v>
      </c>
      <c r="C30" t="str">
        <f>Table3[[#This Row],[SelectedModel]]</f>
        <v>2 compartment</v>
      </c>
      <c r="D30" s="6" t="str">
        <f>Table3[[#This Row],[Vdist]]</f>
        <v>NA</v>
      </c>
      <c r="E30" s="5">
        <f>Table3[[#This Row],[kelim]]</f>
        <v>1.2136845323257199</v>
      </c>
      <c r="F30" s="3" t="str">
        <f>IF(ISERROR(Table2[[#This Row],[kelim (1/h)]]*Table2[[#This Row],[Vd (L/kg BW)]]),"NA",Table2[[#This Row],[kelim (1/h)]]*Table2[[#This Row],[Vd (L/kg BW)]])</f>
        <v>NA</v>
      </c>
      <c r="G30" s="3">
        <f>Table3[[#This Row],[kgutabs]]</f>
        <v>999.99999999993804</v>
      </c>
      <c r="H30" s="3" t="str">
        <f>Table3[[#This Row],[Fbio]]</f>
        <v>NA</v>
      </c>
      <c r="I30" s="11" t="str">
        <f>IF(ISERROR(Table2[[#This Row],[Fbio]]/Table2[[#This Row],[CLtot (L/kg BW/h)]]),"NA",Table2[[#This Row],[Fbio]]/Table2[[#This Row],[CLtot (L/kg BW/h)]])</f>
        <v>NA</v>
      </c>
    </row>
    <row r="31" spans="1:9" x14ac:dyDescent="0.25">
      <c r="A31" t="str">
        <f>Table3[[#This Row],[Compound]]</f>
        <v>Midazolam</v>
      </c>
      <c r="B31" s="2">
        <f>Table3[[#This Row],[Source]]</f>
        <v>3</v>
      </c>
      <c r="C31" t="str">
        <f>Table3[[#This Row],[SelectedModel]]</f>
        <v>1 compartment</v>
      </c>
      <c r="D31" s="6">
        <f>Table3[[#This Row],[Vdist]]</f>
        <v>2.9211882320072098</v>
      </c>
      <c r="E31" s="5">
        <f>Table3[[#This Row],[kelim]]</f>
        <v>1.74579113748939</v>
      </c>
      <c r="F31" s="3">
        <f>IF(ISERROR(Table2[[#This Row],[kelim (1/h)]]*Table2[[#This Row],[Vd (L/kg BW)]]),"NA",Table2[[#This Row],[kelim (1/h)]]*Table2[[#This Row],[Vd (L/kg BW)]])</f>
        <v>5.0997845263764869</v>
      </c>
      <c r="G31" s="3">
        <f>Table3[[#This Row],[kgutabs]]</f>
        <v>0.77957387797359101</v>
      </c>
      <c r="H31" s="3">
        <f>Table3[[#This Row],[Fbio]]</f>
        <v>0.110514023726288</v>
      </c>
      <c r="I31" s="11">
        <f>IF(ISERROR(Table2[[#This Row],[Fbio]]/Table2[[#This Row],[CLtot (L/kg BW/h)]]),"NA",Table2[[#This Row],[Fbio]]/Table2[[#This Row],[CLtot (L/kg BW/h)]])</f>
        <v>2.1670331982596672E-2</v>
      </c>
    </row>
    <row r="32" spans="1:9" x14ac:dyDescent="0.25">
      <c r="A32" t="str">
        <f>Table3[[#This Row],[Compound]]</f>
        <v>Nilvadipine</v>
      </c>
      <c r="B32" s="2">
        <f>Table3[[#This Row],[Source]]</f>
        <v>3</v>
      </c>
      <c r="C32" t="str">
        <f>Table3[[#This Row],[SelectedModel]]</f>
        <v>2 compartment</v>
      </c>
      <c r="D32" s="6">
        <f>Table3[[#This Row],[Vdist]]</f>
        <v>12.025271764687</v>
      </c>
      <c r="E32" s="5">
        <f>Table3[[#This Row],[kelim]]</f>
        <v>0.24031630732982201</v>
      </c>
      <c r="F32" s="3">
        <f>IF(ISERROR(Table2[[#This Row],[kelim (1/h)]]*Table2[[#This Row],[Vd (L/kg BW)]]),"NA",Table2[[#This Row],[kelim (1/h)]]*Table2[[#This Row],[Vd (L/kg BW)]])</f>
        <v>2.8898689051271522</v>
      </c>
      <c r="G32" s="3">
        <f>Table3[[#This Row],[kgutabs]]</f>
        <v>4.967888764874</v>
      </c>
      <c r="H32" s="3">
        <f>Table3[[#This Row],[Fbio]]</f>
        <v>0.150210521371274</v>
      </c>
      <c r="I32" s="11">
        <f>IF(ISERROR(Table2[[#This Row],[Fbio]]/Table2[[#This Row],[CLtot (L/kg BW/h)]]),"NA",Table2[[#This Row],[Fbio]]/Table2[[#This Row],[CLtot (L/kg BW/h)]])</f>
        <v>5.1978316768893307E-2</v>
      </c>
    </row>
    <row r="33" spans="1:9" x14ac:dyDescent="0.25">
      <c r="A33" t="str">
        <f>Table3[[#This Row],[Compound]]</f>
        <v>Novaluron</v>
      </c>
      <c r="B33" s="2">
        <f>Table3[[#This Row],[Source]]</f>
        <v>1</v>
      </c>
      <c r="C33" t="str">
        <f>Table3[[#This Row],[SelectedModel]]</f>
        <v>2 compartment</v>
      </c>
      <c r="D33" s="6">
        <f>Table3[[#This Row],[Vdist]]</f>
        <v>49.3051899234639</v>
      </c>
      <c r="E33" s="5">
        <f>Table3[[#This Row],[kelim]]</f>
        <v>1.8427291255736799E-3</v>
      </c>
      <c r="F33" s="3">
        <f>IF(ISERROR(Table2[[#This Row],[kelim (1/h)]]*Table2[[#This Row],[Vd (L/kg BW)]]),"NA",Table2[[#This Row],[kelim (1/h)]]*Table2[[#This Row],[Vd (L/kg BW)]])</f>
        <v>9.085610951390885E-2</v>
      </c>
      <c r="G33" s="3">
        <f>Table3[[#This Row],[kgutabs]]</f>
        <v>0.23749197996254401</v>
      </c>
      <c r="H33" s="3">
        <f>Table3[[#This Row],[Fbio]]</f>
        <v>0.99997291370383501</v>
      </c>
      <c r="I33" s="11">
        <f>IF(ISERROR(Table2[[#This Row],[Fbio]]/Table2[[#This Row],[CLtot (L/kg BW/h)]]),"NA",Table2[[#This Row],[Fbio]]/Table2[[#This Row],[CLtot (L/kg BW/h)]])</f>
        <v>11.006116364147781</v>
      </c>
    </row>
    <row r="34" spans="1:9" x14ac:dyDescent="0.25">
      <c r="A34" t="str">
        <f>Table3[[#This Row],[Compound]]</f>
        <v>Ondansetron</v>
      </c>
      <c r="B34" s="2">
        <f>Table3[[#This Row],[Source]]</f>
        <v>3</v>
      </c>
      <c r="C34" t="str">
        <f>Table3[[#This Row],[SelectedModel]]</f>
        <v>2 compartment</v>
      </c>
      <c r="D34" s="6">
        <f>Table3[[#This Row],[Vdist]]</f>
        <v>0.14326174333223499</v>
      </c>
      <c r="E34" s="5">
        <f>Table3[[#This Row],[kelim]]</f>
        <v>1.55383136661784</v>
      </c>
      <c r="F34" s="3">
        <f>IF(ISERROR(Table2[[#This Row],[kelim (1/h)]]*Table2[[#This Row],[Vd (L/kg BW)]]),"NA",Table2[[#This Row],[kelim (1/h)]]*Table2[[#This Row],[Vd (L/kg BW)]])</f>
        <v>0.22260459042598094</v>
      </c>
      <c r="G34" s="3">
        <f>Table3[[#This Row],[kgutabs]]</f>
        <v>351.99928307703198</v>
      </c>
      <c r="H34" s="3">
        <f>Table3[[#This Row],[Fbio]]</f>
        <v>9.8339846026363101E-2</v>
      </c>
      <c r="I34" s="11">
        <f>IF(ISERROR(Table2[[#This Row],[Fbio]]/Table2[[#This Row],[CLtot (L/kg BW/h)]]),"NA",Table2[[#This Row],[Fbio]]/Table2[[#This Row],[CLtot (L/kg BW/h)]])</f>
        <v>0.44176917393382525</v>
      </c>
    </row>
    <row r="35" spans="1:9" x14ac:dyDescent="0.25">
      <c r="A35" t="str">
        <f>Table3[[#This Row],[Compound]]</f>
        <v>Perfluorooctanoic acid</v>
      </c>
      <c r="B35" s="2">
        <f>Table3[[#This Row],[Source]]</f>
        <v>1</v>
      </c>
      <c r="C35" t="str">
        <f>Table3[[#This Row],[SelectedModel]]</f>
        <v>2 compartment</v>
      </c>
      <c r="D35" s="6">
        <f>Table3[[#This Row],[Vdist]]</f>
        <v>1.3508259722957101</v>
      </c>
      <c r="E35" s="5">
        <f>Table3[[#This Row],[kelim]]</f>
        <v>3.4214169581734901E-4</v>
      </c>
      <c r="F35" s="3">
        <f>IF(ISERROR(Table2[[#This Row],[kelim (1/h)]]*Table2[[#This Row],[Vd (L/kg BW)]]),"NA",Table2[[#This Row],[kelim (1/h)]]*Table2[[#This Row],[Vd (L/kg BW)]])</f>
        <v>4.6217388891537357E-4</v>
      </c>
      <c r="G35" s="3">
        <f>Table3[[#This Row],[kgutabs]]</f>
        <v>2.1939845398640601</v>
      </c>
      <c r="H35" s="3">
        <f>Table3[[#This Row],[Fbio]]</f>
        <v>0.99931024707682803</v>
      </c>
      <c r="I35" s="11">
        <f>IF(ISERROR(Table2[[#This Row],[Fbio]]/Table2[[#This Row],[CLtot (L/kg BW/h)]]),"NA",Table2[[#This Row],[Fbio]]/Table2[[#This Row],[CLtot (L/kg BW/h)]])</f>
        <v>2162.195379366849</v>
      </c>
    </row>
    <row r="36" spans="1:9" x14ac:dyDescent="0.25">
      <c r="A36" t="str">
        <f>Table3[[#This Row],[Compound]]</f>
        <v>Permethrin</v>
      </c>
      <c r="B36" s="2">
        <f>Table3[[#This Row],[Source]]</f>
        <v>1</v>
      </c>
      <c r="C36" t="str">
        <f>Table3[[#This Row],[SelectedModel]]</f>
        <v>2 compartment</v>
      </c>
      <c r="D36" s="6">
        <f>Table3[[#This Row],[Vdist]]</f>
        <v>432.82392681818601</v>
      </c>
      <c r="E36" s="5">
        <f>Table3[[#This Row],[kelim]]</f>
        <v>3.2782518816024703E-2</v>
      </c>
      <c r="F36" s="3">
        <f>IF(ISERROR(Table2[[#This Row],[kelim (1/h)]]*Table2[[#This Row],[Vd (L/kg BW)]]),"NA",Table2[[#This Row],[kelim (1/h)]]*Table2[[#This Row],[Vd (L/kg BW)]])</f>
        <v>14.189058524942881</v>
      </c>
      <c r="G36" s="3">
        <f>Table3[[#This Row],[kgutabs]]</f>
        <v>1.8046854990457299</v>
      </c>
      <c r="H36" s="3">
        <f>Table3[[#This Row],[Fbio]]</f>
        <v>0.99950098602747905</v>
      </c>
      <c r="I36" s="11">
        <f>IF(ISERROR(Table2[[#This Row],[Fbio]]/Table2[[#This Row],[CLtot (L/kg BW/h)]]),"NA",Table2[[#This Row],[Fbio]]/Table2[[#This Row],[CLtot (L/kg BW/h)]])</f>
        <v>7.0441670549914279E-2</v>
      </c>
    </row>
    <row r="37" spans="1:9" x14ac:dyDescent="0.25">
      <c r="A37" t="str">
        <f>Table3[[#This Row],[Compound]]</f>
        <v>Phenacetin</v>
      </c>
      <c r="B37" s="2">
        <f>Table3[[#This Row],[Source]]</f>
        <v>3</v>
      </c>
      <c r="C37" t="str">
        <f>Table3[[#This Row],[SelectedModel]]</f>
        <v>2 compartment</v>
      </c>
      <c r="D37" s="6">
        <f>Table3[[#This Row],[Vdist]]</f>
        <v>0.99148052162115297</v>
      </c>
      <c r="E37" s="5">
        <f>Table3[[#This Row],[kelim]]</f>
        <v>0.75997943144324098</v>
      </c>
      <c r="F37" s="3">
        <f>IF(ISERROR(Table2[[#This Row],[kelim (1/h)]]*Table2[[#This Row],[Vd (L/kg BW)]]),"NA",Table2[[#This Row],[kelim (1/h)]]*Table2[[#This Row],[Vd (L/kg BW)]])</f>
        <v>0.75350480310869183</v>
      </c>
      <c r="G37" s="3" t="str">
        <f>Table3[[#This Row],[kgutabs]]</f>
        <v>NA</v>
      </c>
      <c r="H37" s="3" t="str">
        <f>Table3[[#This Row],[Fbio]]</f>
        <v>NA</v>
      </c>
      <c r="I37" s="11" t="str">
        <f>IF(ISERROR(Table2[[#This Row],[Fbio]]/Table2[[#This Row],[CLtot (L/kg BW/h)]]),"NA",Table2[[#This Row],[Fbio]]/Table2[[#This Row],[CLtot (L/kg BW/h)]])</f>
        <v>NA</v>
      </c>
    </row>
    <row r="38" spans="1:9" x14ac:dyDescent="0.25">
      <c r="A38" t="str">
        <f>Table3[[#This Row],[Compound]]</f>
        <v>Phenytoin</v>
      </c>
      <c r="B38" s="2">
        <f>Table3[[#This Row],[Source]]</f>
        <v>3</v>
      </c>
      <c r="C38" t="str">
        <f>Table3[[#This Row],[SelectedModel]]</f>
        <v>2 compartment</v>
      </c>
      <c r="D38" s="6">
        <f>Table3[[#This Row],[Vdist]]</f>
        <v>13.757342842918</v>
      </c>
      <c r="E38" s="5">
        <f>Table3[[#This Row],[kelim]]</f>
        <v>7.8251540766975604E-4</v>
      </c>
      <c r="F38" s="3">
        <f>IF(ISERROR(Table2[[#This Row],[kelim (1/h)]]*Table2[[#This Row],[Vd (L/kg BW)]]),"NA",Table2[[#This Row],[kelim (1/h)]]*Table2[[#This Row],[Vd (L/kg BW)]])</f>
        <v>1.0765332743178578E-2</v>
      </c>
      <c r="G38" s="3">
        <f>Table3[[#This Row],[kgutabs]]</f>
        <v>1000</v>
      </c>
      <c r="H38" s="3">
        <f>Table3[[#This Row],[Fbio]]</f>
        <v>0.29617519481389099</v>
      </c>
      <c r="I38" s="11">
        <f>IF(ISERROR(Table2[[#This Row],[Fbio]]/Table2[[#This Row],[CLtot (L/kg BW/h)]]),"NA",Table2[[#This Row],[Fbio]]/Table2[[#This Row],[CLtot (L/kg BW/h)]])</f>
        <v>27.511940585539406</v>
      </c>
    </row>
    <row r="39" spans="1:9" x14ac:dyDescent="0.25">
      <c r="A39" t="str">
        <f>Table3[[#This Row],[Compound]]</f>
        <v>Propamocarb hydrochloride</v>
      </c>
      <c r="B39" s="2">
        <f>Table3[[#This Row],[Source]]</f>
        <v>1</v>
      </c>
      <c r="C39" t="str">
        <f>Table3[[#This Row],[SelectedModel]]</f>
        <v>1 compartment</v>
      </c>
      <c r="D39" s="6">
        <f>Table3[[#This Row],[Vdist]]</f>
        <v>8.5068839367551394</v>
      </c>
      <c r="E39" s="5">
        <f>Table3[[#This Row],[kelim]]</f>
        <v>2.4465703426719601</v>
      </c>
      <c r="F39" s="3">
        <f>IF(ISERROR(Table2[[#This Row],[kelim (1/h)]]*Table2[[#This Row],[Vd (L/kg BW)]]),"NA",Table2[[#This Row],[kelim (1/h)]]*Table2[[#This Row],[Vd (L/kg BW)]])</f>
        <v>20.812689948217614</v>
      </c>
      <c r="G39" s="3">
        <f>Table3[[#This Row],[kgutabs]]</f>
        <v>12.690627122316799</v>
      </c>
      <c r="H39" s="3">
        <f>Table3[[#This Row],[Fbio]]</f>
        <v>7.8380101514476299E-3</v>
      </c>
      <c r="I39" s="11">
        <f>IF(ISERROR(Table2[[#This Row],[Fbio]]/Table2[[#This Row],[CLtot (L/kg BW/h)]]),"NA",Table2[[#This Row],[Fbio]]/Table2[[#This Row],[CLtot (L/kg BW/h)]])</f>
        <v>3.7659765128624678E-4</v>
      </c>
    </row>
    <row r="40" spans="1:9" x14ac:dyDescent="0.25">
      <c r="A40" t="str">
        <f>Table3[[#This Row],[Compound]]</f>
        <v>Propyzamide</v>
      </c>
      <c r="B40" s="2" t="str">
        <f>Table3[[#This Row],[Source]]</f>
        <v>1,2</v>
      </c>
      <c r="C40" t="str">
        <f>Table3[[#This Row],[SelectedModel]]</f>
        <v>2 compartment</v>
      </c>
      <c r="D40" s="6">
        <f>Table3[[#This Row],[Vdist]]</f>
        <v>21.237291811417201</v>
      </c>
      <c r="E40" s="5">
        <f>Table3[[#This Row],[kelim]]</f>
        <v>0.19669921766971299</v>
      </c>
      <c r="F40" s="3">
        <f>IF(ISERROR(Table2[[#This Row],[kelim (1/h)]]*Table2[[#This Row],[Vd (L/kg BW)]]),"NA",Table2[[#This Row],[kelim (1/h)]]*Table2[[#This Row],[Vd (L/kg BW)]])</f>
        <v>4.1773586847291648</v>
      </c>
      <c r="G40" s="3">
        <f>Table3[[#This Row],[kgutabs]]</f>
        <v>1.8829850379123201</v>
      </c>
      <c r="H40" s="3">
        <f>Table3[[#This Row],[Fbio]]</f>
        <v>0.99974386426561102</v>
      </c>
      <c r="I40" s="11">
        <f>IF(ISERROR(Table2[[#This Row],[Fbio]]/Table2[[#This Row],[CLtot (L/kg BW/h)]]),"NA",Table2[[#This Row],[Fbio]]/Table2[[#This Row],[CLtot (L/kg BW/h)]])</f>
        <v>0.23932440082779927</v>
      </c>
    </row>
    <row r="41" spans="1:9" x14ac:dyDescent="0.25">
      <c r="A41" t="str">
        <f>Table3[[#This Row],[Compound]]</f>
        <v>Propyzamide</v>
      </c>
      <c r="B41" s="2">
        <f>Table3[[#This Row],[Source]]</f>
        <v>1</v>
      </c>
      <c r="C41" t="str">
        <f>Table3[[#This Row],[SelectedModel]]</f>
        <v>2 compartment</v>
      </c>
      <c r="D41" s="6">
        <f>Table3[[#This Row],[Vdist]]</f>
        <v>17.798044780153901</v>
      </c>
      <c r="E41" s="5">
        <f>Table3[[#This Row],[kelim]]</f>
        <v>0.133892301668042</v>
      </c>
      <c r="F41" s="3">
        <f>IF(ISERROR(Table2[[#This Row],[kelim (1/h)]]*Table2[[#This Row],[Vd (L/kg BW)]]),"NA",Table2[[#This Row],[kelim (1/h)]]*Table2[[#This Row],[Vd (L/kg BW)]])</f>
        <v>2.3830211808056863</v>
      </c>
      <c r="G41" s="3">
        <f>Table3[[#This Row],[kgutabs]]</f>
        <v>2.74049369219835</v>
      </c>
      <c r="H41" s="3">
        <f>Table3[[#This Row],[Fbio]]</f>
        <v>0.99964908131012598</v>
      </c>
      <c r="I41" s="11">
        <f>IF(ISERROR(Table2[[#This Row],[Fbio]]/Table2[[#This Row],[CLtot (L/kg BW/h)]]),"NA",Table2[[#This Row],[Fbio]]/Table2[[#This Row],[CLtot (L/kg BW/h)]])</f>
        <v>0.41948812262430257</v>
      </c>
    </row>
    <row r="42" spans="1:9" x14ac:dyDescent="0.25">
      <c r="A42" t="str">
        <f>Table3[[#This Row],[Compound]]</f>
        <v>Propyzamide</v>
      </c>
      <c r="B42" s="2">
        <f>Table3[[#This Row],[Source]]</f>
        <v>2</v>
      </c>
      <c r="C42" t="str">
        <f>Table3[[#This Row],[SelectedModel]]</f>
        <v>1 compartment</v>
      </c>
      <c r="D42" s="6">
        <f>Table3[[#This Row],[Vdist]]</f>
        <v>22.7725707470576</v>
      </c>
      <c r="E42" s="5">
        <f>Table3[[#This Row],[kelim]]</f>
        <v>0.15108155101263099</v>
      </c>
      <c r="F42" s="3">
        <f>IF(ISERROR(Table2[[#This Row],[kelim (1/h)]]*Table2[[#This Row],[Vd (L/kg BW)]]),"NA",Table2[[#This Row],[kelim (1/h)]]*Table2[[#This Row],[Vd (L/kg BW)]])</f>
        <v>3.4405153090103311</v>
      </c>
      <c r="G42" s="3">
        <f>Table3[[#This Row],[kgutabs]]</f>
        <v>0.58236816873061004</v>
      </c>
      <c r="H42" s="3">
        <f>Table3[[#This Row],[Fbio]]</f>
        <v>0.99947703305559599</v>
      </c>
      <c r="I42" s="11">
        <f>IF(ISERROR(Table2[[#This Row],[Fbio]]/Table2[[#This Row],[CLtot (L/kg BW/h)]]),"NA",Table2[[#This Row],[Fbio]]/Table2[[#This Row],[CLtot (L/kg BW/h)]])</f>
        <v>0.29050213217714088</v>
      </c>
    </row>
    <row r="43" spans="1:9" x14ac:dyDescent="0.25">
      <c r="A43" t="str">
        <f>Table3[[#This Row],[Compound]]</f>
        <v>Pyrithiobac sodium</v>
      </c>
      <c r="B43" s="2">
        <f>Table3[[#This Row],[Source]]</f>
        <v>2</v>
      </c>
      <c r="C43" t="str">
        <f>Table3[[#This Row],[SelectedModel]]</f>
        <v>2 compartment</v>
      </c>
      <c r="D43" s="6">
        <f>Table3[[#This Row],[Vdist]]</f>
        <v>1.8417145252284599</v>
      </c>
      <c r="E43" s="5">
        <f>Table3[[#This Row],[kelim]]</f>
        <v>0.28906430492484803</v>
      </c>
      <c r="F43" s="3">
        <f>IF(ISERROR(Table2[[#This Row],[kelim (1/h)]]*Table2[[#This Row],[Vd (L/kg BW)]]),"NA",Table2[[#This Row],[kelim (1/h)]]*Table2[[#This Row],[Vd (L/kg BW)]])</f>
        <v>0.53237392910516124</v>
      </c>
      <c r="G43" s="3">
        <f>Table3[[#This Row],[kgutabs]]</f>
        <v>1.9852416149358001</v>
      </c>
      <c r="H43" s="3">
        <f>Table3[[#This Row],[Fbio]]</f>
        <v>0.99948445532112395</v>
      </c>
      <c r="I43" s="11">
        <f>IF(ISERROR(Table2[[#This Row],[Fbio]]/Table2[[#This Row],[CLtot (L/kg BW/h)]]),"NA",Table2[[#This Row],[Fbio]]/Table2[[#This Row],[CLtot (L/kg BW/h)]])</f>
        <v>1.8774105955960385</v>
      </c>
    </row>
    <row r="44" spans="1:9" x14ac:dyDescent="0.25">
      <c r="A44" t="str">
        <f>Table3[[#This Row],[Compound]]</f>
        <v>Resmethrin</v>
      </c>
      <c r="B44" s="2">
        <f>Table3[[#This Row],[Source]]</f>
        <v>1</v>
      </c>
      <c r="C44" t="str">
        <f>Table3[[#This Row],[SelectedModel]]</f>
        <v>2 compartment</v>
      </c>
      <c r="D44" s="6">
        <f>Table3[[#This Row],[Vdist]]</f>
        <v>373.94517467962299</v>
      </c>
      <c r="E44" s="5">
        <f>Table3[[#This Row],[kelim]]</f>
        <v>2.4841393784504399E-2</v>
      </c>
      <c r="F44" s="3">
        <f>IF(ISERROR(Table2[[#This Row],[kelim (1/h)]]*Table2[[#This Row],[Vd (L/kg BW)]]),"NA",Table2[[#This Row],[kelim (1/h)]]*Table2[[#This Row],[Vd (L/kg BW)]])</f>
        <v>9.2893193380317989</v>
      </c>
      <c r="G44" s="3">
        <f>Table3[[#This Row],[kgutabs]]</f>
        <v>1.7289082478187101</v>
      </c>
      <c r="H44" s="3">
        <f>Table3[[#This Row],[Fbio]]</f>
        <v>0.99995857741095695</v>
      </c>
      <c r="I44" s="11">
        <f>IF(ISERROR(Table2[[#This Row],[Fbio]]/Table2[[#This Row],[CLtot (L/kg BW/h)]]),"NA",Table2[[#This Row],[Fbio]]/Table2[[#This Row],[CLtot (L/kg BW/h)]])</f>
        <v>0.10764605468099087</v>
      </c>
    </row>
    <row r="45" spans="1:9" x14ac:dyDescent="0.25">
      <c r="A45" t="str">
        <f>Table3[[#This Row],[Compound]]</f>
        <v>S-Bioallethrin</v>
      </c>
      <c r="B45" s="2">
        <f>Table3[[#This Row],[Source]]</f>
        <v>1</v>
      </c>
      <c r="C45" t="str">
        <f>Table3[[#This Row],[SelectedModel]]</f>
        <v>2 compartment</v>
      </c>
      <c r="D45" s="6">
        <f>Table3[[#This Row],[Vdist]]</f>
        <v>46.461311109692403</v>
      </c>
      <c r="E45" s="5">
        <f>Table3[[#This Row],[kelim]]</f>
        <v>0.30404153186098298</v>
      </c>
      <c r="F45" s="3">
        <f>IF(ISERROR(Table2[[#This Row],[kelim (1/h)]]*Table2[[#This Row],[Vd (L/kg BW)]]),"NA",Table2[[#This Row],[kelim (1/h)]]*Table2[[#This Row],[Vd (L/kg BW)]])</f>
        <v>14.126168202060585</v>
      </c>
      <c r="G45" s="3">
        <f>Table3[[#This Row],[kgutabs]]</f>
        <v>4.1840741308419904</v>
      </c>
      <c r="H45" s="3">
        <f>Table3[[#This Row],[Fbio]]</f>
        <v>0.116136933436262</v>
      </c>
      <c r="I45" s="11">
        <f>IF(ISERROR(Table2[[#This Row],[Fbio]]/Table2[[#This Row],[CLtot (L/kg BW/h)]]),"NA",Table2[[#This Row],[Fbio]]/Table2[[#This Row],[CLtot (L/kg BW/h)]])</f>
        <v>8.2214038354237566E-3</v>
      </c>
    </row>
    <row r="46" spans="1:9" x14ac:dyDescent="0.25">
      <c r="A46" t="str">
        <f>Table3[[#This Row],[Compound]]</f>
        <v>Simazine</v>
      </c>
      <c r="B46" s="2">
        <f>Table3[[#This Row],[Source]]</f>
        <v>1</v>
      </c>
      <c r="C46" t="str">
        <f>Table3[[#This Row],[SelectedModel]]</f>
        <v>1 compartment</v>
      </c>
      <c r="D46" s="6">
        <f>Table3[[#This Row],[Vdist]]</f>
        <v>2.73243569850669</v>
      </c>
      <c r="E46" s="5">
        <f>Table3[[#This Row],[kelim]]</f>
        <v>3.2845737936770201</v>
      </c>
      <c r="F46" s="3">
        <f>IF(ISERROR(Table2[[#This Row],[kelim (1/h)]]*Table2[[#This Row],[Vd (L/kg BW)]]),"NA",Table2[[#This Row],[kelim (1/h)]]*Table2[[#This Row],[Vd (L/kg BW)]])</f>
        <v>8.9748866882226377</v>
      </c>
      <c r="G46" s="3">
        <f>Table3[[#This Row],[kgutabs]]</f>
        <v>1.27058080103326</v>
      </c>
      <c r="H46" s="3">
        <f>Table3[[#This Row],[Fbio]]</f>
        <v>4.8464540349585999E-2</v>
      </c>
      <c r="I46" s="11">
        <f>IF(ISERROR(Table2[[#This Row],[Fbio]]/Table2[[#This Row],[CLtot (L/kg BW/h)]]),"NA",Table2[[#This Row],[Fbio]]/Table2[[#This Row],[CLtot (L/kg BW/h)]])</f>
        <v>5.4000169621287756E-3</v>
      </c>
    </row>
    <row r="47" spans="1:9" x14ac:dyDescent="0.25">
      <c r="A47" t="str">
        <f>Table3[[#This Row],[Compound]]</f>
        <v>Tolbutamide</v>
      </c>
      <c r="B47" s="2">
        <f>Table3[[#This Row],[Source]]</f>
        <v>3</v>
      </c>
      <c r="C47" t="str">
        <f>Table3[[#This Row],[SelectedModel]]</f>
        <v>1 compartment</v>
      </c>
      <c r="D47" s="6">
        <f>Table3[[#This Row],[Vdist]]</f>
        <v>0.17076224957229399</v>
      </c>
      <c r="E47" s="5">
        <f>Table3[[#This Row],[kelim]]</f>
        <v>0.19709772301553</v>
      </c>
      <c r="F47" s="3">
        <f>IF(ISERROR(Table2[[#This Row],[kelim (1/h)]]*Table2[[#This Row],[Vd (L/kg BW)]]),"NA",Table2[[#This Row],[kelim (1/h)]]*Table2[[#This Row],[Vd (L/kg BW)]])</f>
        <v>3.3656850567708806E-2</v>
      </c>
      <c r="G47" s="3">
        <f>Table3[[#This Row],[kgutabs]]</f>
        <v>6.1969236515384498</v>
      </c>
      <c r="H47" s="3">
        <f>Table3[[#This Row],[Fbio]]</f>
        <v>0.99994835522101799</v>
      </c>
      <c r="I47" s="11">
        <f>IF(ISERROR(Table2[[#This Row],[Fbio]]/Table2[[#This Row],[CLtot (L/kg BW/h)]]),"NA",Table2[[#This Row],[Fbio]]/Table2[[#This Row],[CLtot (L/kg BW/h)]])</f>
        <v>29.710098786854186</v>
      </c>
    </row>
    <row r="48" spans="1:9" x14ac:dyDescent="0.25">
      <c r="A48" t="str">
        <f>Table3[[#This Row],[Compound]]</f>
        <v>Triclosan</v>
      </c>
      <c r="B48" s="2">
        <f>Table3[[#This Row],[Source]]</f>
        <v>1</v>
      </c>
      <c r="C48" t="str">
        <f>Table3[[#This Row],[SelectedModel]]</f>
        <v>1 compartment</v>
      </c>
      <c r="D48" s="6">
        <f>Table3[[#This Row],[Vdist]]</f>
        <v>7.2431818189262103</v>
      </c>
      <c r="E48" s="5">
        <f>Table3[[#This Row],[kelim]]</f>
        <v>2.7169888666634301</v>
      </c>
      <c r="F48" s="3">
        <f>IF(ISERROR(Table2[[#This Row],[kelim (1/h)]]*Table2[[#This Row],[Vd (L/kg BW)]]),"NA",Table2[[#This Row],[kelim (1/h)]]*Table2[[#This Row],[Vd (L/kg BW)]])</f>
        <v>19.679644361241486</v>
      </c>
      <c r="G48" s="3" t="str">
        <f>Table3[[#This Row],[kgutabs]]</f>
        <v>NA</v>
      </c>
      <c r="H48" s="3" t="str">
        <f>Table3[[#This Row],[Fbio]]</f>
        <v>NA</v>
      </c>
      <c r="I48" s="11" t="str">
        <f>IF(ISERROR(Table2[[#This Row],[Fbio]]/Table2[[#This Row],[CLtot (L/kg BW/h)]]),"NA",Table2[[#This Row],[Fbio]]/Table2[[#This Row],[CLtot (L/kg BW/h)]])</f>
        <v>NA</v>
      </c>
    </row>
    <row r="49" spans="1:9" x14ac:dyDescent="0.25">
      <c r="A49" t="str">
        <f>Table3[[#This Row],[Compound]]</f>
        <v>Valproic acid</v>
      </c>
      <c r="B49" s="2">
        <f>Table3[[#This Row],[Source]]</f>
        <v>3</v>
      </c>
      <c r="C49" t="str">
        <f>Table3[[#This Row],[SelectedModel]]</f>
        <v>2 compartment</v>
      </c>
      <c r="D49" s="6">
        <f>Table3[[#This Row],[Vdist]]</f>
        <v>0.22738774406968701</v>
      </c>
      <c r="E49" s="5">
        <f>Table3[[#This Row],[kelim]]</f>
        <v>0.58264400544977202</v>
      </c>
      <c r="F49" s="3">
        <f>IF(ISERROR(Table2[[#This Row],[kelim (1/h)]]*Table2[[#This Row],[Vd (L/kg BW)]]),"NA",Table2[[#This Row],[kelim (1/h)]]*Table2[[#This Row],[Vd (L/kg BW)]])</f>
        <v>0.13248610599495009</v>
      </c>
      <c r="G49" s="3">
        <f>Table3[[#This Row],[kgutabs]]</f>
        <v>453.078945693648</v>
      </c>
      <c r="H49" s="3">
        <f>Table3[[#This Row],[Fbio]]</f>
        <v>0.99905119014671095</v>
      </c>
      <c r="I49" s="11">
        <f>IF(ISERROR(Table2[[#This Row],[Fbio]]/Table2[[#This Row],[CLtot (L/kg BW/h)]]),"NA",Table2[[#This Row],[Fbio]]/Table2[[#This Row],[CLtot (L/kg BW/h)]])</f>
        <v>7.5407997136302827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ChemProps</vt:lpstr>
      <vt:lpstr>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Wambaugh, John</dc:creator>
  <cp:lastModifiedBy>Wambaugh, John</cp:lastModifiedBy>
  <dcterms:created xsi:type="dcterms:W3CDTF">2017-08-09T15:31:05Z</dcterms:created>
  <dcterms:modified xsi:type="dcterms:W3CDTF">2017-12-11T18:39:48Z</dcterms:modified>
</cp:coreProperties>
</file>